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BC\Desktop\"/>
    </mc:Choice>
  </mc:AlternateContent>
  <xr:revisionPtr revIDLastSave="0" documentId="13_ncr:1_{3058C189-1292-4B41-9461-24477561EA8F}" xr6:coauthVersionLast="47" xr6:coauthVersionMax="47" xr10:uidLastSave="{00000000-0000-0000-0000-000000000000}"/>
  <bookViews>
    <workbookView xWindow="-120" yWindow="-120" windowWidth="20730" windowHeight="11040" xr2:uid="{A3BB15E2-62F0-48B9-B102-1986D22974F1}"/>
  </bookViews>
  <sheets>
    <sheet name="Dashboard" sheetId="7" r:id="rId1"/>
    <sheet name="Input_Log" sheetId="2" r:id="rId2"/>
    <sheet name="Yield_Log" sheetId="3" r:id="rId3"/>
    <sheet name="Profitability_Summary" sheetId="4" r:id="rId4"/>
    <sheet name="Chart_Data" sheetId="5" r:id="rId5"/>
    <sheet name="Lookup_Tables" sheetId="6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7" l="1"/>
  <c r="F16" i="7"/>
  <c r="F17" i="7"/>
  <c r="F18" i="7"/>
  <c r="F19" i="7"/>
  <c r="F20" i="7"/>
  <c r="F21" i="7"/>
  <c r="F22" i="7"/>
  <c r="F23" i="7"/>
  <c r="E15" i="7"/>
  <c r="E16" i="7"/>
  <c r="E17" i="7"/>
  <c r="E18" i="7"/>
  <c r="E19" i="7"/>
  <c r="E20" i="7"/>
  <c r="E21" i="7"/>
  <c r="E22" i="7"/>
  <c r="E23" i="7"/>
  <c r="D15" i="7"/>
  <c r="D16" i="7"/>
  <c r="D17" i="7"/>
  <c r="D18" i="7"/>
  <c r="D19" i="7"/>
  <c r="D20" i="7"/>
  <c r="D21" i="7"/>
  <c r="D22" i="7"/>
  <c r="D23" i="7"/>
  <c r="D14" i="7"/>
  <c r="E14" i="7"/>
  <c r="F14" i="7"/>
  <c r="G15" i="7"/>
  <c r="G16" i="7"/>
  <c r="G17" i="7"/>
  <c r="G18" i="7"/>
  <c r="G19" i="7"/>
  <c r="G20" i="7"/>
  <c r="G21" i="7"/>
  <c r="G22" i="7"/>
  <c r="G14" i="7"/>
  <c r="G23" i="7"/>
  <c r="I10" i="7"/>
  <c r="F10" i="7"/>
  <c r="C10" i="7"/>
  <c r="P7" i="5"/>
  <c r="P8" i="5"/>
  <c r="P9" i="5"/>
  <c r="P10" i="5"/>
  <c r="P11" i="5"/>
  <c r="P12" i="5"/>
  <c r="P13" i="5"/>
  <c r="P14" i="5"/>
  <c r="P15" i="5"/>
  <c r="P6" i="5"/>
  <c r="K7" i="5"/>
  <c r="K8" i="5"/>
  <c r="K9" i="5"/>
  <c r="K10" i="5"/>
  <c r="K11" i="5"/>
  <c r="K12" i="5"/>
  <c r="K13" i="5"/>
  <c r="K14" i="5"/>
  <c r="K15" i="5"/>
  <c r="K6" i="5"/>
  <c r="F6" i="4"/>
  <c r="E7" i="5"/>
  <c r="E8" i="5"/>
  <c r="E9" i="5"/>
  <c r="E10" i="5"/>
  <c r="E11" i="5"/>
  <c r="E12" i="5"/>
  <c r="E13" i="5"/>
  <c r="E14" i="5"/>
  <c r="E6" i="5"/>
  <c r="E6" i="4"/>
  <c r="E15" i="4"/>
  <c r="D7" i="5"/>
  <c r="F7" i="5" s="1"/>
  <c r="D8" i="5"/>
  <c r="F8" i="5" s="1"/>
  <c r="D9" i="5"/>
  <c r="F9" i="5" s="1"/>
  <c r="D10" i="5"/>
  <c r="F10" i="5" s="1"/>
  <c r="D11" i="5"/>
  <c r="F11" i="5" s="1"/>
  <c r="D12" i="5"/>
  <c r="F12" i="5" s="1"/>
  <c r="D13" i="5"/>
  <c r="F13" i="5" s="1"/>
  <c r="D14" i="5"/>
  <c r="F14" i="5" s="1"/>
  <c r="D6" i="5"/>
  <c r="F6" i="5" s="1"/>
  <c r="R16" i="4"/>
  <c r="G11" i="4"/>
  <c r="G14" i="4"/>
  <c r="P16" i="4"/>
  <c r="Q16" i="4"/>
  <c r="O16" i="4"/>
  <c r="D15" i="4"/>
  <c r="S7" i="4"/>
  <c r="S8" i="4"/>
  <c r="S9" i="4"/>
  <c r="S10" i="4"/>
  <c r="S11" i="4"/>
  <c r="S12" i="4"/>
  <c r="S13" i="4"/>
  <c r="S14" i="4"/>
  <c r="S15" i="4"/>
  <c r="S6" i="4"/>
  <c r="R7" i="4"/>
  <c r="R8" i="4"/>
  <c r="R9" i="4"/>
  <c r="R10" i="4"/>
  <c r="R11" i="4"/>
  <c r="R12" i="4"/>
  <c r="R13" i="4"/>
  <c r="R14" i="4"/>
  <c r="R15" i="4"/>
  <c r="R6" i="4"/>
  <c r="Q7" i="4"/>
  <c r="Q8" i="4"/>
  <c r="Q9" i="4"/>
  <c r="Q10" i="4"/>
  <c r="Q11" i="4"/>
  <c r="Q12" i="4"/>
  <c r="Q13" i="4"/>
  <c r="Q14" i="4"/>
  <c r="Q15" i="4"/>
  <c r="Q6" i="4"/>
  <c r="P7" i="4"/>
  <c r="P8" i="4"/>
  <c r="P9" i="4"/>
  <c r="P10" i="4"/>
  <c r="P11" i="4"/>
  <c r="P12" i="4"/>
  <c r="P13" i="4"/>
  <c r="P14" i="4"/>
  <c r="P15" i="4"/>
  <c r="P6" i="4"/>
  <c r="O7" i="4"/>
  <c r="O8" i="4"/>
  <c r="O9" i="4"/>
  <c r="O10" i="4"/>
  <c r="O11" i="4"/>
  <c r="O12" i="4"/>
  <c r="O13" i="4"/>
  <c r="O14" i="4"/>
  <c r="O15" i="4"/>
  <c r="O6" i="4"/>
  <c r="D6" i="4"/>
  <c r="H7" i="4"/>
  <c r="H8" i="4"/>
  <c r="H9" i="4"/>
  <c r="H10" i="4"/>
  <c r="H11" i="4"/>
  <c r="H12" i="4"/>
  <c r="H13" i="4"/>
  <c r="H14" i="4"/>
  <c r="H6" i="4"/>
  <c r="E7" i="4"/>
  <c r="E8" i="4"/>
  <c r="E9" i="4"/>
  <c r="E10" i="4"/>
  <c r="E11" i="4"/>
  <c r="E12" i="4"/>
  <c r="E13" i="4"/>
  <c r="F13" i="4"/>
  <c r="G13" i="4"/>
  <c r="E14" i="4"/>
  <c r="F14" i="4"/>
  <c r="D7" i="4"/>
  <c r="F7" i="4"/>
  <c r="G7" i="4"/>
  <c r="D8" i="4"/>
  <c r="F8" i="4"/>
  <c r="G8" i="4"/>
  <c r="D9" i="4"/>
  <c r="F9" i="4"/>
  <c r="G9" i="4"/>
  <c r="D10" i="4"/>
  <c r="D11" i="4"/>
  <c r="D12" i="4"/>
  <c r="D13" i="4"/>
  <c r="D14" i="4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4" i="3"/>
  <c r="F30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4" i="2"/>
  <c r="M53" i="2"/>
  <c r="O53" i="2" s="1"/>
  <c r="M52" i="2"/>
  <c r="O52" i="2"/>
  <c r="M51" i="2"/>
  <c r="O51" i="2"/>
  <c r="M50" i="2"/>
  <c r="O50" i="2"/>
  <c r="M49" i="2"/>
  <c r="O49" i="2"/>
  <c r="M48" i="2"/>
  <c r="O48" i="2"/>
  <c r="M47" i="2"/>
  <c r="O47" i="2"/>
  <c r="M46" i="2"/>
  <c r="O46" i="2"/>
  <c r="M45" i="2"/>
  <c r="O45" i="2"/>
  <c r="M44" i="2"/>
  <c r="O44" i="2"/>
  <c r="M43" i="2"/>
  <c r="O43" i="2" s="1"/>
  <c r="M42" i="2"/>
  <c r="O42" i="2"/>
  <c r="M41" i="2"/>
  <c r="O41" i="2"/>
  <c r="M40" i="2"/>
  <c r="O40" i="2"/>
  <c r="M39" i="2"/>
  <c r="O39" i="2"/>
  <c r="M38" i="2"/>
  <c r="O38" i="2"/>
  <c r="M37" i="2"/>
  <c r="O37" i="2"/>
  <c r="M36" i="2"/>
  <c r="O36" i="2"/>
  <c r="M35" i="2"/>
  <c r="O35" i="2"/>
  <c r="M34" i="2"/>
  <c r="O34" i="2"/>
  <c r="M33" i="2"/>
  <c r="O33" i="2"/>
  <c r="M32" i="2"/>
  <c r="O32" i="2"/>
  <c r="M31" i="2"/>
  <c r="O31" i="2"/>
  <c r="M30" i="2"/>
  <c r="O30" i="2"/>
  <c r="M29" i="2"/>
  <c r="O29" i="2"/>
  <c r="M28" i="2"/>
  <c r="O28" i="2"/>
  <c r="M27" i="2"/>
  <c r="O27" i="2"/>
  <c r="M26" i="2"/>
  <c r="O26" i="2"/>
  <c r="M25" i="2"/>
  <c r="O25" i="2"/>
  <c r="M24" i="2"/>
  <c r="O24" i="2"/>
  <c r="M23" i="2"/>
  <c r="O23" i="2"/>
  <c r="M22" i="2"/>
  <c r="O22" i="2"/>
  <c r="M21" i="2"/>
  <c r="O21" i="2"/>
  <c r="M20" i="2"/>
  <c r="O20" i="2"/>
  <c r="M19" i="2"/>
  <c r="O19" i="2"/>
  <c r="M18" i="2"/>
  <c r="O18" i="2"/>
  <c r="M17" i="2"/>
  <c r="O17" i="2"/>
  <c r="M16" i="2"/>
  <c r="O16" i="2"/>
  <c r="M15" i="2"/>
  <c r="O15" i="2"/>
  <c r="M14" i="2"/>
  <c r="O14" i="2"/>
  <c r="M13" i="2"/>
  <c r="O13" i="2"/>
  <c r="M12" i="2"/>
  <c r="O12" i="2"/>
  <c r="M11" i="2"/>
  <c r="O11" i="2"/>
  <c r="M10" i="2"/>
  <c r="O10" i="2"/>
  <c r="M9" i="2"/>
  <c r="O9" i="2"/>
  <c r="M8" i="2"/>
  <c r="O8" i="2"/>
  <c r="M7" i="2"/>
  <c r="O7" i="2"/>
  <c r="M6" i="2"/>
  <c r="O6" i="2"/>
  <c r="M5" i="2"/>
  <c r="O5" i="2"/>
  <c r="M4" i="2"/>
  <c r="O4" i="2"/>
  <c r="F11" i="4"/>
  <c r="F10" i="4"/>
  <c r="G10" i="4"/>
  <c r="F12" i="4"/>
  <c r="G12" i="4"/>
  <c r="F15" i="4"/>
  <c r="G15" i="4"/>
  <c r="G6" i="4"/>
  <c r="L10" i="7" l="1"/>
</calcChain>
</file>

<file path=xl/sharedStrings.xml><?xml version="1.0" encoding="utf-8"?>
<sst xmlns="http://schemas.openxmlformats.org/spreadsheetml/2006/main" count="630" uniqueCount="243">
  <si>
    <t>Farm Name</t>
  </si>
  <si>
    <t>Sunrise Farm</t>
  </si>
  <si>
    <t>Hlalani Agri</t>
  </si>
  <si>
    <t>Boland Veggie Farm</t>
  </si>
  <si>
    <t>Khanya Farm</t>
  </si>
  <si>
    <t>Lesedi Plots</t>
  </si>
  <si>
    <t>Nkosi Holdings</t>
  </si>
  <si>
    <t>Kalahari Fresh</t>
  </si>
  <si>
    <t>Coastal Greens</t>
  </si>
  <si>
    <t>Free State Harvest</t>
  </si>
  <si>
    <t>Province</t>
  </si>
  <si>
    <t>Limpopo</t>
  </si>
  <si>
    <t>Kwa-Zulu-Natal</t>
  </si>
  <si>
    <t>Western Cape</t>
  </si>
  <si>
    <t>Gauteng</t>
  </si>
  <si>
    <t>North West</t>
  </si>
  <si>
    <t>Mpumalanga</t>
  </si>
  <si>
    <t>Northern Cape</t>
  </si>
  <si>
    <t>Eastern Cape</t>
  </si>
  <si>
    <t>Free State</t>
  </si>
  <si>
    <t>Crop</t>
  </si>
  <si>
    <t>Tomatoes</t>
  </si>
  <si>
    <t>Spinach</t>
  </si>
  <si>
    <t>Cabbage</t>
  </si>
  <si>
    <t>Butternut</t>
  </si>
  <si>
    <t>Green pepper</t>
  </si>
  <si>
    <t>Onion</t>
  </si>
  <si>
    <t>Carrot</t>
  </si>
  <si>
    <t>Broccoli</t>
  </si>
  <si>
    <t>Watermelon</t>
  </si>
  <si>
    <t>Sweet potato</t>
  </si>
  <si>
    <t>Season</t>
  </si>
  <si>
    <t>Summer 2025/26</t>
  </si>
  <si>
    <t>Variance (ZAR)</t>
  </si>
  <si>
    <t>Budgeted Amount (R)</t>
  </si>
  <si>
    <t>Total Cost (ZAR)</t>
  </si>
  <si>
    <t>Unit Cost (R)</t>
  </si>
  <si>
    <t>Unit</t>
  </si>
  <si>
    <t>Quantity Used</t>
  </si>
  <si>
    <t>Input Category</t>
  </si>
  <si>
    <t>Date</t>
  </si>
  <si>
    <t>Entry ID</t>
  </si>
  <si>
    <t>Input Item</t>
  </si>
  <si>
    <t>E001</t>
  </si>
  <si>
    <t>05/10/2024</t>
  </si>
  <si>
    <t>Seeds</t>
  </si>
  <si>
    <t>Tomato Seeds (F1 Hybrid)</t>
  </si>
  <si>
    <t>kg</t>
  </si>
  <si>
    <t>E002</t>
  </si>
  <si>
    <t>Spinach Seeds</t>
  </si>
  <si>
    <t>E003</t>
  </si>
  <si>
    <t>07/10/2024</t>
  </si>
  <si>
    <t>Fertilizer</t>
  </si>
  <si>
    <t>LAN Fertilizer 28%</t>
  </si>
  <si>
    <t>E004</t>
  </si>
  <si>
    <t>08/10/2024</t>
  </si>
  <si>
    <t xml:space="preserve"> summer 2025/26</t>
  </si>
  <si>
    <t>Labour</t>
  </si>
  <si>
    <t>Land Preparation Labour</t>
  </si>
  <si>
    <t>day</t>
  </si>
  <si>
    <t>E005</t>
  </si>
  <si>
    <t>10/10/2024</t>
  </si>
  <si>
    <t>Irrigation</t>
  </si>
  <si>
    <t>Drip Tape Rolls</t>
  </si>
  <si>
    <t>roll</t>
  </si>
  <si>
    <t>E006</t>
  </si>
  <si>
    <t>12/10/2024</t>
  </si>
  <si>
    <t>summer</t>
  </si>
  <si>
    <t>Cabbage Seeds (Hybrid)</t>
  </si>
  <si>
    <t>E007</t>
  </si>
  <si>
    <t>Compound D Fertilizer</t>
  </si>
  <si>
    <t>E008</t>
  </si>
  <si>
    <t>14/10/2024</t>
  </si>
  <si>
    <t>Pesticide</t>
  </si>
  <si>
    <t>Aphid Control Spray</t>
  </si>
  <si>
    <t>litre</t>
  </si>
  <si>
    <t>E009</t>
  </si>
  <si>
    <t>Planting Labour</t>
  </si>
  <si>
    <t>E010</t>
  </si>
  <si>
    <t>16/10/2024</t>
  </si>
  <si>
    <t>Transport</t>
  </si>
  <si>
    <t>Produce Delivery to Market</t>
  </si>
  <si>
    <t>trip</t>
  </si>
  <si>
    <t>E011</t>
  </si>
  <si>
    <t>18/10/2024</t>
  </si>
  <si>
    <t>Butternut Seeds</t>
  </si>
  <si>
    <t>E012</t>
  </si>
  <si>
    <t>Urea 46%</t>
  </si>
  <si>
    <t>E013</t>
  </si>
  <si>
    <t>20/10/2024</t>
  </si>
  <si>
    <t>Fungicide (Ridomil)</t>
  </si>
  <si>
    <t>E014</t>
  </si>
  <si>
    <t>Equipment</t>
  </si>
  <si>
    <t>Irrigation Pump Service</t>
  </si>
  <si>
    <t>unit</t>
  </si>
  <si>
    <t>E015</t>
  </si>
  <si>
    <t>Weeding Labour</t>
  </si>
  <si>
    <t>E016</t>
  </si>
  <si>
    <t>24/10/2024</t>
  </si>
  <si>
    <t>Green Pepper Seeds</t>
  </si>
  <si>
    <t>E017</t>
  </si>
  <si>
    <t>Lettuce Seeds</t>
  </si>
  <si>
    <t>E018</t>
  </si>
  <si>
    <t>26/10/2024</t>
  </si>
  <si>
    <t>Potassium Nitrate</t>
  </si>
  <si>
    <t>E019</t>
  </si>
  <si>
    <t>Harvesting Labour</t>
  </si>
  <si>
    <t>E020</t>
  </si>
  <si>
    <t>28/10/2024</t>
  </si>
  <si>
    <t>Packaging</t>
  </si>
  <si>
    <t>Vegetable Crates</t>
  </si>
  <si>
    <t>E021</t>
  </si>
  <si>
    <t>30/10/2024</t>
  </si>
  <si>
    <t>Sweet Potato Cuttings</t>
  </si>
  <si>
    <t>E022</t>
  </si>
  <si>
    <t>Superphosphate</t>
  </si>
  <si>
    <t>E023</t>
  </si>
  <si>
    <t>01/11/2024</t>
  </si>
  <si>
    <t>Nematicide Treatment</t>
  </si>
  <si>
    <t>E024</t>
  </si>
  <si>
    <t>Irrigation Setup Labour</t>
  </si>
  <si>
    <t>E025</t>
  </si>
  <si>
    <t>03/11/2024</t>
  </si>
  <si>
    <t>Input Delivery from Town</t>
  </si>
  <si>
    <t>E026</t>
  </si>
  <si>
    <t>05/11/2024</t>
  </si>
  <si>
    <t>Maize Seed (PAN 6Q-308)</t>
  </si>
  <si>
    <t>E027</t>
  </si>
  <si>
    <t>Groundnut Seed</t>
  </si>
  <si>
    <t>E028</t>
  </si>
  <si>
    <t>07/11/2024</t>
  </si>
  <si>
    <t>E029</t>
  </si>
  <si>
    <t>Herbicide (Atrazine)</t>
  </si>
  <si>
    <t>E030</t>
  </si>
  <si>
    <t>09/11/2024</t>
  </si>
  <si>
    <t>Ploughing Labour</t>
  </si>
  <si>
    <t>E031</t>
  </si>
  <si>
    <t>11/11/2024</t>
  </si>
  <si>
    <t>Watermelon Seeds</t>
  </si>
  <si>
    <t>E032</t>
  </si>
  <si>
    <t>Micro Sprinkler System</t>
  </si>
  <si>
    <t>E033</t>
  </si>
  <si>
    <t>13/11/2024</t>
  </si>
  <si>
    <t>Calcium Nitrate</t>
  </si>
  <si>
    <t>E034</t>
  </si>
  <si>
    <t>General Farm Labour</t>
  </si>
  <si>
    <t>E035</t>
  </si>
  <si>
    <t>15/11/2024</t>
  </si>
  <si>
    <t>Spider Mite Control</t>
  </si>
  <si>
    <t>E036</t>
  </si>
  <si>
    <t>17/11/2024</t>
  </si>
  <si>
    <t>Broccoli Seeds</t>
  </si>
  <si>
    <t>E037</t>
  </si>
  <si>
    <t>Cauliflower Seeds</t>
  </si>
  <si>
    <t>E038</t>
  </si>
  <si>
    <t>19/11/2024</t>
  </si>
  <si>
    <t>E039</t>
  </si>
  <si>
    <t>Transplanting Labour</t>
  </si>
  <si>
    <t>E040</t>
  </si>
  <si>
    <t>21/11/2024</t>
  </si>
  <si>
    <t>Vegetable Bags (50kg)</t>
  </si>
  <si>
    <t>E041</t>
  </si>
  <si>
    <t>23/11/2024</t>
  </si>
  <si>
    <t>Onion Seeds (Pyramid)</t>
  </si>
  <si>
    <t>E042</t>
  </si>
  <si>
    <t>Carrot Seeds</t>
  </si>
  <si>
    <t>E043</t>
  </si>
  <si>
    <t>25/11/2024</t>
  </si>
  <si>
    <t>E044</t>
  </si>
  <si>
    <t>Caterpillar Control</t>
  </si>
  <si>
    <t>E045</t>
  </si>
  <si>
    <t>27/11/2024</t>
  </si>
  <si>
    <t>Harvesting and Packing Labour</t>
  </si>
  <si>
    <t>E046</t>
  </si>
  <si>
    <t>29/11/2024</t>
  </si>
  <si>
    <t>Whitefly Control Spray</t>
  </si>
  <si>
    <t>E047</t>
  </si>
  <si>
    <t>Market Delivery</t>
  </si>
  <si>
    <t>E048</t>
  </si>
  <si>
    <t>01/12/2024</t>
  </si>
  <si>
    <t>Cabbage Nets</t>
  </si>
  <si>
    <t>E049</t>
  </si>
  <si>
    <t>03/12/2024</t>
  </si>
  <si>
    <t>Tractor Fuel</t>
  </si>
  <si>
    <t>E050</t>
  </si>
  <si>
    <t>05/12/2024</t>
  </si>
  <si>
    <t>Water Pump Repair</t>
  </si>
  <si>
    <t>Yield ID</t>
  </si>
  <si>
    <t>Area Planted(Ha)</t>
  </si>
  <si>
    <t>Yield (kg)</t>
  </si>
  <si>
    <t>Market Price (R/kg)</t>
  </si>
  <si>
    <t>Total Revenue®</t>
  </si>
  <si>
    <t>Input Cost®</t>
  </si>
  <si>
    <t>Profit Margin(%)</t>
  </si>
  <si>
    <t>Y001</t>
  </si>
  <si>
    <t>Y002</t>
  </si>
  <si>
    <t>Y003</t>
  </si>
  <si>
    <t>Y004</t>
  </si>
  <si>
    <t>Y005</t>
  </si>
  <si>
    <t>Y006</t>
  </si>
  <si>
    <t>Y007</t>
  </si>
  <si>
    <t>Y008</t>
  </si>
  <si>
    <t>Y009</t>
  </si>
  <si>
    <t>Y010</t>
  </si>
  <si>
    <t>Y011</t>
  </si>
  <si>
    <t>Y012</t>
  </si>
  <si>
    <t>Y013</t>
  </si>
  <si>
    <t>Y014</t>
  </si>
  <si>
    <t>Y015</t>
  </si>
  <si>
    <t>Y016</t>
  </si>
  <si>
    <t>Y017</t>
  </si>
  <si>
    <t>Y018</t>
  </si>
  <si>
    <t>Y019</t>
  </si>
  <si>
    <t>Y020</t>
  </si>
  <si>
    <t>Y021</t>
  </si>
  <si>
    <t>Y022</t>
  </si>
  <si>
    <t>Y023</t>
  </si>
  <si>
    <t>Y024</t>
  </si>
  <si>
    <t>Y025</t>
  </si>
  <si>
    <t>Y026</t>
  </si>
  <si>
    <t>Y027</t>
  </si>
  <si>
    <t xml:space="preserve"> Spinach</t>
  </si>
  <si>
    <t xml:space="preserve"> Green Pepper</t>
  </si>
  <si>
    <t>Gross Profit ®</t>
  </si>
  <si>
    <t>Total Input Cost®</t>
  </si>
  <si>
    <t>Top Crop</t>
  </si>
  <si>
    <t>Profitability By Farm</t>
  </si>
  <si>
    <t>Times Grown</t>
  </si>
  <si>
    <t>Profitability By Crop</t>
  </si>
  <si>
    <t>Sweet Potato</t>
  </si>
  <si>
    <t>Green Pepper</t>
  </si>
  <si>
    <t>Totals</t>
  </si>
  <si>
    <t>Total Revenue</t>
  </si>
  <si>
    <t>Revenue vs Input Cost by Farm</t>
  </si>
  <si>
    <t>Revenue</t>
  </si>
  <si>
    <t>Revenue by Crop</t>
  </si>
  <si>
    <t>Profit Margin by Crop</t>
  </si>
  <si>
    <t>Profit Margin</t>
  </si>
  <si>
    <t>🌿  FARM PROFITABILITY &amp; RESOURCE TRACKING DASHBOARD</t>
  </si>
  <si>
    <t xml:space="preserve">Season: Summer 2025/26  |  Mixed Vegetable Production </t>
  </si>
  <si>
    <t>Selected Farm :</t>
  </si>
  <si>
    <t>Total Revenue ®</t>
  </si>
  <si>
    <t>Gross Profit®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</si>
</sst>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rgb="FFFFFFFF"/>
      <name val="Calibri"/>
      <family val="2"/>
    </font>
    <font>
      <i/>
      <sz val="11"/>
      <color rgb="FF2D6A4F"/>
      <name val="Calibri"/>
      <family val="2"/>
    </font>
    <font>
      <b/>
      <sz val="12"/>
      <color rgb="FFFFFFFF"/>
      <name val="Calibri"/>
      <family val="2"/>
    </font>
    <font>
      <b/>
      <sz val="14"/>
      <color theme="6" tint="-0.499984740745262"/>
      <name val="Calibri"/>
      <family val="2"/>
    </font>
    <font>
      <i/>
      <sz val="11"/>
      <color rgb="FF666666"/>
      <name val="Calibri"/>
      <family val="2"/>
    </font>
    <font>
      <b/>
      <sz val="22"/>
      <color rgb="FF2D6A4F"/>
      <name val="Calibri"/>
      <family val="2"/>
    </font>
    <font>
      <b/>
      <sz val="10"/>
      <color rgb="FFFFFFFF"/>
      <name val="Calibri"/>
      <family val="2"/>
    </font>
    <font>
      <sz val="12"/>
      <color theme="1"/>
      <name val="Aptos Narrow"/>
      <family val="2"/>
      <scheme val="minor"/>
    </font>
    <font>
      <sz val="11"/>
      <color theme="0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rgb="FFF8F9FA"/>
        <bgColor rgb="FFFFFFFF"/>
      </patternFill>
    </fill>
    <fill>
      <patternFill patternType="solid">
        <fgColor rgb="FF2D6A4F"/>
        <bgColor rgb="FF555555"/>
      </patternFill>
    </fill>
    <fill>
      <patternFill patternType="solid">
        <fgColor rgb="FFD8F3DC"/>
        <bgColor rgb="FFDEE2E6"/>
      </patternFill>
    </fill>
    <fill>
      <patternFill patternType="solid">
        <fgColor rgb="FFFFF3CD"/>
        <bgColor rgb="FFF8F9FA"/>
      </patternFill>
    </fill>
    <fill>
      <patternFill patternType="solid">
        <fgColor rgb="FF52B788"/>
        <bgColor rgb="FF33CCCC"/>
      </patternFill>
    </fill>
    <fill>
      <patternFill patternType="solid">
        <fgColor rgb="FFD4A017"/>
        <bgColor rgb="FFE9C46A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2D6A4F"/>
      </left>
      <right/>
      <top style="medium">
        <color indexed="64"/>
      </top>
      <bottom style="medium">
        <color indexed="64"/>
      </bottom>
      <diagonal/>
    </border>
    <border>
      <left style="medium">
        <color rgb="FF2D6A4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EE2E6"/>
      </left>
      <right style="thin">
        <color rgb="FFDEE2E6"/>
      </right>
      <top/>
      <bottom/>
      <diagonal/>
    </border>
    <border>
      <left style="thin">
        <color rgb="FFDEE2E6"/>
      </left>
      <right style="medium">
        <color indexed="64"/>
      </right>
      <top/>
      <bottom/>
      <diagonal/>
    </border>
    <border>
      <left style="thin">
        <color rgb="FFDEE2E6"/>
      </left>
      <right/>
      <top/>
      <bottom style="medium">
        <color indexed="64"/>
      </bottom>
      <diagonal/>
    </border>
    <border>
      <left/>
      <right style="thin">
        <color rgb="FFDEE2E6"/>
      </right>
      <top/>
      <bottom style="medium">
        <color indexed="64"/>
      </bottom>
      <diagonal/>
    </border>
    <border>
      <left/>
      <right style="thin">
        <color rgb="FFDEE2E6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10" fontId="0" fillId="0" borderId="0" xfId="0" applyNumberFormat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3" xfId="0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 wrapText="1"/>
    </xf>
    <xf numFmtId="0" fontId="0" fillId="0" borderId="1" xfId="0" applyBorder="1"/>
    <xf numFmtId="3" fontId="0" fillId="0" borderId="6" xfId="0" applyNumberFormat="1" applyBorder="1"/>
    <xf numFmtId="0" fontId="0" fillId="0" borderId="6" xfId="0" applyBorder="1" applyAlignment="1">
      <alignment wrapText="1"/>
    </xf>
    <xf numFmtId="0" fontId="0" fillId="0" borderId="10" xfId="0" applyBorder="1" applyAlignment="1">
      <alignment wrapText="1"/>
    </xf>
    <xf numFmtId="3" fontId="0" fillId="0" borderId="10" xfId="0" applyNumberFormat="1" applyBorder="1"/>
    <xf numFmtId="3" fontId="0" fillId="0" borderId="13" xfId="0" applyNumberFormat="1" applyBorder="1"/>
    <xf numFmtId="0" fontId="0" fillId="0" borderId="15" xfId="0" applyBorder="1"/>
    <xf numFmtId="0" fontId="0" fillId="0" borderId="3" xfId="0" applyBorder="1"/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4" xfId="0" applyBorder="1" applyAlignment="1">
      <alignment wrapText="1"/>
    </xf>
    <xf numFmtId="0" fontId="0" fillId="0" borderId="1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wrapText="1"/>
    </xf>
    <xf numFmtId="0" fontId="0" fillId="0" borderId="12" xfId="0" applyBorder="1" applyAlignment="1">
      <alignment horizontal="center"/>
    </xf>
    <xf numFmtId="0" fontId="0" fillId="0" borderId="17" xfId="0" applyBorder="1"/>
    <xf numFmtId="10" fontId="0" fillId="0" borderId="8" xfId="0" applyNumberFormat="1" applyBorder="1"/>
    <xf numFmtId="10" fontId="0" fillId="0" borderId="11" xfId="0" applyNumberFormat="1" applyBorder="1"/>
    <xf numFmtId="10" fontId="0" fillId="0" borderId="14" xfId="0" applyNumberFormat="1" applyBorder="1"/>
    <xf numFmtId="10" fontId="0" fillId="0" borderId="17" xfId="0" applyNumberFormat="1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6" xfId="0" applyBorder="1"/>
    <xf numFmtId="0" fontId="0" fillId="2" borderId="0" xfId="0" applyFill="1"/>
    <xf numFmtId="0" fontId="8" fillId="6" borderId="29" xfId="0" applyFont="1" applyFill="1" applyBorder="1" applyAlignment="1">
      <alignment horizontal="center" vertical="center"/>
    </xf>
    <xf numFmtId="0" fontId="8" fillId="6" borderId="30" xfId="0" applyFont="1" applyFill="1" applyBorder="1" applyAlignment="1">
      <alignment horizontal="center" vertical="center" wrapText="1"/>
    </xf>
    <xf numFmtId="0" fontId="8" fillId="6" borderId="31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wrapText="1"/>
    </xf>
    <xf numFmtId="0" fontId="9" fillId="0" borderId="7" xfId="0" applyFont="1" applyBorder="1" applyAlignment="1">
      <alignment horizontal="center"/>
    </xf>
    <xf numFmtId="0" fontId="9" fillId="0" borderId="9" xfId="0" applyFont="1" applyBorder="1" applyAlignment="1">
      <alignment horizontal="center" wrapText="1"/>
    </xf>
    <xf numFmtId="0" fontId="0" fillId="2" borderId="26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27" xfId="0" applyFill="1" applyBorder="1"/>
    <xf numFmtId="0" fontId="0" fillId="2" borderId="18" xfId="0" applyFill="1" applyBorder="1"/>
    <xf numFmtId="3" fontId="7" fillId="2" borderId="4" xfId="0" applyNumberFormat="1" applyFont="1" applyFill="1" applyBorder="1" applyAlignment="1">
      <alignment horizontal="center" vertical="center"/>
    </xf>
    <xf numFmtId="3" fontId="7" fillId="2" borderId="0" xfId="0" applyNumberFormat="1" applyFont="1" applyFill="1" applyBorder="1" applyAlignment="1">
      <alignment horizontal="center" vertical="center"/>
    </xf>
    <xf numFmtId="3" fontId="7" fillId="2" borderId="28" xfId="0" applyNumberFormat="1" applyFont="1" applyFill="1" applyBorder="1" applyAlignment="1">
      <alignment horizontal="center" vertical="center"/>
    </xf>
    <xf numFmtId="3" fontId="7" fillId="2" borderId="24" xfId="0" applyNumberFormat="1" applyFont="1" applyFill="1" applyBorder="1" applyAlignment="1">
      <alignment horizontal="center" vertical="center"/>
    </xf>
    <xf numFmtId="164" fontId="7" fillId="2" borderId="24" xfId="0" applyNumberFormat="1" applyFont="1" applyFill="1" applyBorder="1" applyAlignment="1">
      <alignment horizontal="center" vertical="center"/>
    </xf>
    <xf numFmtId="164" fontId="7" fillId="2" borderId="25" xfId="0" applyNumberFormat="1" applyFont="1" applyFill="1" applyBorder="1" applyAlignment="1">
      <alignment horizontal="center" vertical="center"/>
    </xf>
    <xf numFmtId="0" fontId="10" fillId="3" borderId="1" xfId="0" applyFont="1" applyFill="1" applyBorder="1"/>
    <xf numFmtId="0" fontId="10" fillId="3" borderId="2" xfId="0" applyFont="1" applyFill="1" applyBorder="1"/>
    <xf numFmtId="0" fontId="10" fillId="6" borderId="2" xfId="0" applyFont="1" applyFill="1" applyBorder="1"/>
    <xf numFmtId="0" fontId="10" fillId="7" borderId="2" xfId="0" applyFont="1" applyFill="1" applyBorder="1"/>
    <xf numFmtId="0" fontId="10" fillId="6" borderId="3" xfId="0" applyFont="1" applyFill="1" applyBorder="1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5" fillId="5" borderId="21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</a:t>
            </a:r>
            <a:r>
              <a:rPr lang="en-US" baseline="0"/>
              <a:t> of </a:t>
            </a:r>
            <a:r>
              <a:rPr lang="en-US"/>
              <a:t>Best</a:t>
            </a:r>
            <a:r>
              <a:rPr lang="en-US" baseline="0"/>
              <a:t> Selling Products Per Farm </a:t>
            </a:r>
            <a:endParaRPr lang="en-US"/>
          </a:p>
        </c:rich>
      </c:tx>
      <c:layout>
        <c:manualLayout>
          <c:xMode val="edge"/>
          <c:yMode val="edge"/>
          <c:x val="0.28620822397200352"/>
          <c:y val="1.52905198776758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3"/>
          <c:order val="3"/>
          <c:tx>
            <c:strRef>
              <c:f>Dashboard!$G$13</c:f>
              <c:strCache>
                <c:ptCount val="1"/>
                <c:pt idx="0">
                  <c:v>Profit Margin(%)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504-45BD-B026-A52396DF03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04-45BD-B026-A52396DF03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504-45BD-B026-A52396DF039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504-45BD-B026-A52396DF039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504-45BD-B026-A52396DF039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504-45BD-B026-A52396DF039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504-45BD-B026-A52396DF039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504-45BD-B026-A52396DF039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504-45BD-B026-A52396DF039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504-45BD-B026-A52396DF039C}"/>
              </c:ext>
            </c:extLst>
          </c:dPt>
          <c:dLbls>
            <c:delete val="1"/>
          </c:dLbls>
          <c:cat>
            <c:strRef>
              <c:f>Dashboard!$C$14:$C$23</c:f>
              <c:strCache>
                <c:ptCount val="10"/>
                <c:pt idx="0">
                  <c:v>Tomatoes</c:v>
                </c:pt>
                <c:pt idx="1">
                  <c:v>Spinach</c:v>
                </c:pt>
                <c:pt idx="2">
                  <c:v>Cabbage</c:v>
                </c:pt>
                <c:pt idx="3">
                  <c:v>Butternut</c:v>
                </c:pt>
                <c:pt idx="4">
                  <c:v>Green pepper</c:v>
                </c:pt>
                <c:pt idx="5">
                  <c:v>Onion</c:v>
                </c:pt>
                <c:pt idx="6">
                  <c:v>Carrot</c:v>
                </c:pt>
                <c:pt idx="7">
                  <c:v>Broccoli</c:v>
                </c:pt>
                <c:pt idx="8">
                  <c:v>Watermelon</c:v>
                </c:pt>
                <c:pt idx="9">
                  <c:v>Sweet potato</c:v>
                </c:pt>
              </c:strCache>
            </c:strRef>
          </c:cat>
          <c:val>
            <c:numRef>
              <c:f>Dashboard!$G$14:$G$23</c:f>
              <c:numCache>
                <c:formatCode>0.00%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0.70317725752508353</c:v>
                </c:pt>
                <c:pt idx="4">
                  <c:v>0</c:v>
                </c:pt>
                <c:pt idx="5">
                  <c:v>0</c:v>
                </c:pt>
                <c:pt idx="6">
                  <c:v>0.67365967365967361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BD-4EA0-9671-634A332DB88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Dashboard!$D$13</c15:sqref>
                        </c15:formulaRef>
                      </c:ext>
                    </c:extLst>
                    <c:strCache>
                      <c:ptCount val="1"/>
                      <c:pt idx="0">
                        <c:v>Total Revenue ®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5-0504-45BD-B026-A52396DF039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7-0504-45BD-B026-A52396DF039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9-0504-45BD-B026-A52396DF039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B-0504-45BD-B026-A52396DF039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D-0504-45BD-B026-A52396DF039C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F-0504-45BD-B026-A52396DF039C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1-0504-45BD-B026-A52396DF039C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3-0504-45BD-B026-A52396DF039C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5-0504-45BD-B026-A52396DF039C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7-0504-45BD-B026-A52396DF039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Dashboard!$C$14:$C$23</c15:sqref>
                        </c15:formulaRef>
                      </c:ext>
                    </c:extLst>
                    <c:strCache>
                      <c:ptCount val="10"/>
                      <c:pt idx="0">
                        <c:v>Tomatoes</c:v>
                      </c:pt>
                      <c:pt idx="1">
                        <c:v>Spinach</c:v>
                      </c:pt>
                      <c:pt idx="2">
                        <c:v>Cabbage</c:v>
                      </c:pt>
                      <c:pt idx="3">
                        <c:v>Butternut</c:v>
                      </c:pt>
                      <c:pt idx="4">
                        <c:v>Green pepper</c:v>
                      </c:pt>
                      <c:pt idx="5">
                        <c:v>Onion</c:v>
                      </c:pt>
                      <c:pt idx="6">
                        <c:v>Carrot</c:v>
                      </c:pt>
                      <c:pt idx="7">
                        <c:v>Broccoli</c:v>
                      </c:pt>
                      <c:pt idx="8">
                        <c:v>Watermelon</c:v>
                      </c:pt>
                      <c:pt idx="9">
                        <c:v>Sweet potato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Dashboard!$D$14:$D$23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23919.999999999996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17160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9BD-4EA0-9671-634A332DB884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Dashboard!$E$13</c15:sqref>
                        </c15:formulaRef>
                      </c:ext>
                    </c:extLst>
                    <c:strCache>
                      <c:ptCount val="1"/>
                      <c:pt idx="0">
                        <c:v>Total Input Cost®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0504-45BD-B026-A52396DF039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0504-45BD-B026-A52396DF039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D-0504-45BD-B026-A52396DF039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F-0504-45BD-B026-A52396DF039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1-0504-45BD-B026-A52396DF039C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3-0504-45BD-B026-A52396DF039C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5-0504-45BD-B026-A52396DF039C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7-0504-45BD-B026-A52396DF039C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9-0504-45BD-B026-A52396DF039C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B-0504-45BD-B026-A52396DF039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Dashboard!$C$14:$C$23</c15:sqref>
                        </c15:formulaRef>
                      </c:ext>
                    </c:extLst>
                    <c:strCache>
                      <c:ptCount val="10"/>
                      <c:pt idx="0">
                        <c:v>Tomatoes</c:v>
                      </c:pt>
                      <c:pt idx="1">
                        <c:v>Spinach</c:v>
                      </c:pt>
                      <c:pt idx="2">
                        <c:v>Cabbage</c:v>
                      </c:pt>
                      <c:pt idx="3">
                        <c:v>Butternut</c:v>
                      </c:pt>
                      <c:pt idx="4">
                        <c:v>Green pepper</c:v>
                      </c:pt>
                      <c:pt idx="5">
                        <c:v>Onion</c:v>
                      </c:pt>
                      <c:pt idx="6">
                        <c:v>Carrot</c:v>
                      </c:pt>
                      <c:pt idx="7">
                        <c:v>Broccoli</c:v>
                      </c:pt>
                      <c:pt idx="8">
                        <c:v>Watermelon</c:v>
                      </c:pt>
                      <c:pt idx="9">
                        <c:v>Sweet potato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Dashboard!$E$14:$E$23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7100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5600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9BD-4EA0-9671-634A332DB884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Dashboard!$F$13</c15:sqref>
                        </c15:formulaRef>
                      </c:ext>
                    </c:extLst>
                    <c:strCache>
                      <c:ptCount val="1"/>
                      <c:pt idx="0">
                        <c:v>Gross Profit®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D-0504-45BD-B026-A52396DF039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F-0504-45BD-B026-A52396DF039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1-0504-45BD-B026-A52396DF039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0504-45BD-B026-A52396DF039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5-0504-45BD-B026-A52396DF039C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7-0504-45BD-B026-A52396DF039C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9-0504-45BD-B026-A52396DF039C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B-0504-45BD-B026-A52396DF039C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D-0504-45BD-B026-A52396DF039C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F-0504-45BD-B026-A52396DF039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Dashboard!$C$14:$C$23</c15:sqref>
                        </c15:formulaRef>
                      </c:ext>
                    </c:extLst>
                    <c:strCache>
                      <c:ptCount val="10"/>
                      <c:pt idx="0">
                        <c:v>Tomatoes</c:v>
                      </c:pt>
                      <c:pt idx="1">
                        <c:v>Spinach</c:v>
                      </c:pt>
                      <c:pt idx="2">
                        <c:v>Cabbage</c:v>
                      </c:pt>
                      <c:pt idx="3">
                        <c:v>Butternut</c:v>
                      </c:pt>
                      <c:pt idx="4">
                        <c:v>Green pepper</c:v>
                      </c:pt>
                      <c:pt idx="5">
                        <c:v>Onion</c:v>
                      </c:pt>
                      <c:pt idx="6">
                        <c:v>Carrot</c:v>
                      </c:pt>
                      <c:pt idx="7">
                        <c:v>Broccoli</c:v>
                      </c:pt>
                      <c:pt idx="8">
                        <c:v>Watermelon</c:v>
                      </c:pt>
                      <c:pt idx="9">
                        <c:v>Sweet potato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Dashboard!$F$14:$F$23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16819.999999999996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11560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9BD-4EA0-9671-634A332DB884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1.6666666666666666E-2"/>
          <c:y val="0.12895831828360904"/>
          <c:w val="0.1853377077865267"/>
          <c:h val="0.788229911628019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527049</xdr:colOff>
      <xdr:row>12</xdr:row>
      <xdr:rowOff>38100</xdr:rowOff>
    </xdr:from>
    <xdr:to>
      <xdr:col>13</xdr:col>
      <xdr:colOff>666749</xdr:colOff>
      <xdr:row>23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1C8D47-4EDD-433C-A07D-F60821CE65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37C4-944E-4634-A5D5-D1FA22970A88}">
  <dimension ref="C3:N25"/>
  <sheetViews>
    <sheetView showGridLines="0" showRowColHeaders="0" tabSelected="1" topLeftCell="A2" zoomScale="85" zoomScaleNormal="85" workbookViewId="0">
      <selection activeCell="C7" sqref="C7:E7"/>
    </sheetView>
  </sheetViews>
  <sheetFormatPr defaultRowHeight="14.25"/>
  <cols>
    <col min="9" max="9" width="13.125" customWidth="1"/>
  </cols>
  <sheetData>
    <row r="3" spans="3:14" ht="28.5">
      <c r="C3" s="75" t="s">
        <v>238</v>
      </c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</row>
    <row r="4" spans="3:14" ht="15">
      <c r="C4" s="76" t="s">
        <v>239</v>
      </c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</row>
    <row r="5" spans="3:14" ht="15" thickBot="1"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</row>
    <row r="6" spans="3:14" ht="16.5" thickBot="1">
      <c r="C6" s="77" t="s">
        <v>240</v>
      </c>
      <c r="D6" s="78"/>
      <c r="E6" s="79"/>
      <c r="F6" s="52"/>
      <c r="G6" s="52"/>
      <c r="H6" s="52"/>
      <c r="I6" s="52"/>
      <c r="J6" s="52"/>
      <c r="K6" s="52"/>
      <c r="L6" s="52"/>
      <c r="M6" s="52"/>
      <c r="N6" s="52"/>
    </row>
    <row r="7" spans="3:14" ht="19.5" thickBot="1">
      <c r="C7" s="80" t="s">
        <v>3</v>
      </c>
      <c r="D7" s="81"/>
      <c r="E7" s="82"/>
      <c r="F7" s="83"/>
      <c r="G7" s="83"/>
      <c r="H7" s="52"/>
      <c r="I7" s="52"/>
      <c r="J7" s="52"/>
      <c r="K7" s="52"/>
      <c r="L7" s="52"/>
      <c r="M7" s="52"/>
      <c r="N7" s="52"/>
    </row>
    <row r="8" spans="3:14" ht="15" thickBot="1"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</row>
    <row r="9" spans="3:14" ht="18.75">
      <c r="C9" s="70" t="s">
        <v>232</v>
      </c>
      <c r="D9" s="71"/>
      <c r="E9" s="71"/>
      <c r="F9" s="72" t="s">
        <v>224</v>
      </c>
      <c r="G9" s="72"/>
      <c r="H9" s="72"/>
      <c r="I9" s="73" t="s">
        <v>223</v>
      </c>
      <c r="J9" s="73"/>
      <c r="K9" s="73"/>
      <c r="L9" s="72" t="s">
        <v>193</v>
      </c>
      <c r="M9" s="72"/>
      <c r="N9" s="74"/>
    </row>
    <row r="10" spans="3:14" ht="28.5">
      <c r="C10" s="64">
        <f>SUMIF(Yield_Log!D4:D30,C7,Yield_Log!K4:K30)</f>
        <v>68580</v>
      </c>
      <c r="D10" s="65"/>
      <c r="E10" s="66"/>
      <c r="F10" s="67">
        <f>SUMIF(Yield_Log!D4:D30,C7,Yield_Log!L4:L30)</f>
        <v>22500</v>
      </c>
      <c r="G10" s="67"/>
      <c r="H10" s="67"/>
      <c r="I10" s="67">
        <f>SUMIF(Yield_Log!D4:D30,C7,Yield_Log!M4:M30)</f>
        <v>46080</v>
      </c>
      <c r="J10" s="67"/>
      <c r="K10" s="67"/>
      <c r="L10" s="68">
        <f>IFERROR(I10/C10,0)</f>
        <v>0.67191601049868765</v>
      </c>
      <c r="M10" s="68"/>
      <c r="N10" s="69"/>
    </row>
    <row r="11" spans="3:14" ht="15" thickBot="1">
      <c r="C11" s="63"/>
      <c r="D11" s="60"/>
      <c r="E11" s="62"/>
      <c r="F11" s="59"/>
      <c r="G11" s="60"/>
      <c r="H11" s="62"/>
      <c r="I11" s="59"/>
      <c r="J11" s="60"/>
      <c r="K11" s="62"/>
      <c r="L11" s="59"/>
      <c r="M11" s="60"/>
      <c r="N11" s="61"/>
    </row>
    <row r="12" spans="3:14" ht="15" thickBot="1">
      <c r="C12" s="52"/>
      <c r="D12" s="52"/>
      <c r="E12" s="52"/>
      <c r="F12" s="52"/>
      <c r="G12" s="52"/>
      <c r="H12" s="52"/>
      <c r="J12" s="52"/>
      <c r="K12" s="52"/>
      <c r="L12" s="52"/>
      <c r="M12" s="52"/>
      <c r="N12" s="52"/>
    </row>
    <row r="13" spans="3:14" ht="25.5">
      <c r="C13" s="53" t="s">
        <v>20</v>
      </c>
      <c r="D13" s="54" t="s">
        <v>241</v>
      </c>
      <c r="E13" s="54" t="s">
        <v>224</v>
      </c>
      <c r="F13" s="54" t="s">
        <v>242</v>
      </c>
      <c r="G13" s="55" t="s">
        <v>193</v>
      </c>
    </row>
    <row r="14" spans="3:14" ht="30" customHeight="1">
      <c r="C14" s="56" t="s">
        <v>21</v>
      </c>
      <c r="D14" s="7">
        <f>SUMIFS(Yield_Log!K4:K30,Yield_Log!D4:D30,$C$7,Yield_Log!G4:G30,C14)</f>
        <v>0</v>
      </c>
      <c r="E14" s="7">
        <f>SUMIFS(Yield_Log!L4:L30,Yield_Log!D4:D30,$C$7,Yield_Log!G4:G30,C14)</f>
        <v>0</v>
      </c>
      <c r="F14" s="7">
        <f>SUMIFS(Yield_Log!M4:M30,Yield_Log!D4:D30,$C$7,Yield_Log!G4:G30,C14)</f>
        <v>0</v>
      </c>
      <c r="G14" s="46">
        <f>SUMIFS(Yield_Log!N5:N31,Yield_Log!D5:D31,$C$7,Yield_Log!G5:G31,C14)</f>
        <v>0</v>
      </c>
    </row>
    <row r="15" spans="3:14" ht="30" customHeight="1">
      <c r="C15" s="56" t="s">
        <v>22</v>
      </c>
      <c r="D15" s="7">
        <f>SUMIFS(Yield_Log!K5:K31,Yield_Log!D5:D31,$C$7,Yield_Log!G5:G31,C15)</f>
        <v>0</v>
      </c>
      <c r="E15" s="7">
        <f>SUMIFS(Yield_Log!L5:L31,Yield_Log!D5:D31,$C$7,Yield_Log!G5:G31,C15)</f>
        <v>0</v>
      </c>
      <c r="F15" s="7">
        <f>SUMIFS(Yield_Log!M5:M31,Yield_Log!D5:D31,$C$7,Yield_Log!G5:G31,C15)</f>
        <v>0</v>
      </c>
      <c r="G15" s="46">
        <f>SUMIFS(Yield_Log!N6:N32,Yield_Log!D6:D32,$C$7,Yield_Log!G6:G32,C15)</f>
        <v>0</v>
      </c>
    </row>
    <row r="16" spans="3:14" ht="30" customHeight="1">
      <c r="C16" s="56" t="s">
        <v>23</v>
      </c>
      <c r="D16" s="7">
        <f>SUMIFS(Yield_Log!K6:K32,Yield_Log!D6:D32,$C$7,Yield_Log!G6:G32,C16)</f>
        <v>0</v>
      </c>
      <c r="E16" s="7">
        <f>SUMIFS(Yield_Log!L6:L32,Yield_Log!D6:D32,$C$7,Yield_Log!G6:G32,C16)</f>
        <v>0</v>
      </c>
      <c r="F16" s="7">
        <f>SUMIFS(Yield_Log!M6:M32,Yield_Log!D6:D32,$C$7,Yield_Log!G6:G32,C16)</f>
        <v>0</v>
      </c>
      <c r="G16" s="46">
        <f>SUMIFS(Yield_Log!N7:N33,Yield_Log!D7:D33,$C$7,Yield_Log!G7:G33,C16)</f>
        <v>0</v>
      </c>
    </row>
    <row r="17" spans="3:8" ht="30" customHeight="1">
      <c r="C17" s="57" t="s">
        <v>24</v>
      </c>
      <c r="D17" s="7">
        <f>SUMIFS(Yield_Log!K7:K33,Yield_Log!D7:D33,$C$7,Yield_Log!G7:G33,C17)</f>
        <v>23919.999999999996</v>
      </c>
      <c r="E17" s="7">
        <f>SUMIFS(Yield_Log!L7:L33,Yield_Log!D7:D33,$C$7,Yield_Log!G7:G33,C17)</f>
        <v>7100</v>
      </c>
      <c r="F17" s="7">
        <f>SUMIFS(Yield_Log!M7:M33,Yield_Log!D7:D33,$C$7,Yield_Log!G7:G33,C17)</f>
        <v>16819.999999999996</v>
      </c>
      <c r="G17" s="46">
        <f>SUMIFS(Yield_Log!N8:N34,Yield_Log!D8:D34,$C$7,Yield_Log!G8:G34,C17)</f>
        <v>0.70317725752508353</v>
      </c>
    </row>
    <row r="18" spans="3:8" ht="30" customHeight="1">
      <c r="C18" s="56" t="s">
        <v>25</v>
      </c>
      <c r="D18" s="7">
        <f>SUMIFS(Yield_Log!K8:K34,Yield_Log!D8:D34,$C$7,Yield_Log!G8:G34,C18)</f>
        <v>0</v>
      </c>
      <c r="E18" s="7">
        <f>SUMIFS(Yield_Log!L8:L34,Yield_Log!D8:D34,$C$7,Yield_Log!G8:G34,C18)</f>
        <v>0</v>
      </c>
      <c r="F18" s="7">
        <f>SUMIFS(Yield_Log!M8:M34,Yield_Log!D8:D34,$C$7,Yield_Log!G8:G34,C18)</f>
        <v>0</v>
      </c>
      <c r="G18" s="46">
        <f>SUMIFS(Yield_Log!N9:N35,Yield_Log!D9:D35,$C$7,Yield_Log!G9:G35,C18)</f>
        <v>0</v>
      </c>
    </row>
    <row r="19" spans="3:8" ht="30" customHeight="1">
      <c r="C19" s="57" t="s">
        <v>26</v>
      </c>
      <c r="D19" s="7">
        <f>SUMIFS(Yield_Log!K9:K35,Yield_Log!D9:D35,$C$7,Yield_Log!G9:G35,C19)</f>
        <v>0</v>
      </c>
      <c r="E19" s="7">
        <f>SUMIFS(Yield_Log!L9:L35,Yield_Log!D9:D35,$C$7,Yield_Log!G9:G35,C19)</f>
        <v>0</v>
      </c>
      <c r="F19" s="7">
        <f>SUMIFS(Yield_Log!M9:M35,Yield_Log!D9:D35,$C$7,Yield_Log!G9:G35,C19)</f>
        <v>0</v>
      </c>
      <c r="G19" s="46">
        <f>SUMIFS(Yield_Log!N10:N36,Yield_Log!D10:D36,$C$7,Yield_Log!G10:G36,C19)</f>
        <v>0</v>
      </c>
    </row>
    <row r="20" spans="3:8" ht="30" customHeight="1">
      <c r="C20" s="57" t="s">
        <v>27</v>
      </c>
      <c r="D20" s="7">
        <f>SUMIFS(Yield_Log!K10:K36,Yield_Log!D10:D36,$C$7,Yield_Log!G10:G36,C20)</f>
        <v>17160</v>
      </c>
      <c r="E20" s="7">
        <f>SUMIFS(Yield_Log!L10:L36,Yield_Log!D10:D36,$C$7,Yield_Log!G10:G36,C20)</f>
        <v>5600</v>
      </c>
      <c r="F20" s="7">
        <f>SUMIFS(Yield_Log!M10:M36,Yield_Log!D10:D36,$C$7,Yield_Log!G10:G36,C20)</f>
        <v>11560</v>
      </c>
      <c r="G20" s="46">
        <f>SUMIFS(Yield_Log!N11:N37,Yield_Log!D11:D37,$C$7,Yield_Log!G11:G37,C20)</f>
        <v>0.67365967365967361</v>
      </c>
    </row>
    <row r="21" spans="3:8" ht="30" customHeight="1">
      <c r="C21" s="56" t="s">
        <v>28</v>
      </c>
      <c r="D21" s="7">
        <f>SUMIFS(Yield_Log!K11:K37,Yield_Log!D11:D37,$C$7,Yield_Log!G11:G37,C21)</f>
        <v>0</v>
      </c>
      <c r="E21" s="7">
        <f>SUMIFS(Yield_Log!L11:L37,Yield_Log!D11:D37,$C$7,Yield_Log!G11:G37,C21)</f>
        <v>0</v>
      </c>
      <c r="F21" s="7">
        <f>SUMIFS(Yield_Log!M11:M37,Yield_Log!D11:D37,$C$7,Yield_Log!G11:G37,C21)</f>
        <v>0</v>
      </c>
      <c r="G21" s="46">
        <f>SUMIFS(Yield_Log!N12:N38,Yield_Log!D12:D38,$C$7,Yield_Log!G12:G38,C21)</f>
        <v>0</v>
      </c>
    </row>
    <row r="22" spans="3:8" ht="30" customHeight="1">
      <c r="C22" s="56" t="s">
        <v>29</v>
      </c>
      <c r="D22" s="7">
        <f>SUMIFS(Yield_Log!K12:K38,Yield_Log!D12:D38,$C$7,Yield_Log!G12:G38,C22)</f>
        <v>0</v>
      </c>
      <c r="E22" s="7">
        <f>SUMIFS(Yield_Log!L12:L38,Yield_Log!D12:D38,$C$7,Yield_Log!G12:G38,C22)</f>
        <v>0</v>
      </c>
      <c r="F22" s="7">
        <f>SUMIFS(Yield_Log!M12:M38,Yield_Log!D12:D38,$C$7,Yield_Log!G12:G38,C22)</f>
        <v>0</v>
      </c>
      <c r="G22" s="46">
        <f>SUMIFS(Yield_Log!N13:N39,Yield_Log!D13:D39,$C$7,Yield_Log!G13:G39,C22)</f>
        <v>0</v>
      </c>
    </row>
    <row r="23" spans="3:8" ht="30" customHeight="1" thickBot="1">
      <c r="C23" s="58" t="s">
        <v>30</v>
      </c>
      <c r="D23" s="12">
        <f>SUMIFS(Yield_Log!K13:K39,Yield_Log!D13:D39,$C$7,Yield_Log!G13:G39,C23)</f>
        <v>0</v>
      </c>
      <c r="E23" s="12">
        <f>SUMIFS(Yield_Log!L13:L39,Yield_Log!D13:D39,$C$7,Yield_Log!G13:G39,C23)</f>
        <v>0</v>
      </c>
      <c r="F23" s="12">
        <f>SUMIFS(Yield_Log!M13:M39,Yield_Log!D13:D39,$C$7,Yield_Log!G13:G39,C23)</f>
        <v>0</v>
      </c>
      <c r="G23" s="47">
        <f>SUMIFS(Yield_Log!M23:M49,Yield_Log!C23:C49,$C$7,Yield_Log!F23:F49,C23)</f>
        <v>0</v>
      </c>
    </row>
    <row r="24" spans="3:8" ht="30" customHeight="1">
      <c r="G24" s="52"/>
      <c r="H24" s="52"/>
    </row>
    <row r="25" spans="3:8" ht="30" customHeight="1">
      <c r="G25" s="52"/>
      <c r="H25" s="52"/>
    </row>
  </sheetData>
  <mergeCells count="17">
    <mergeCell ref="C9:E9"/>
    <mergeCell ref="F9:H9"/>
    <mergeCell ref="I9:K9"/>
    <mergeCell ref="L9:N9"/>
    <mergeCell ref="C3:N3"/>
    <mergeCell ref="C4:N4"/>
    <mergeCell ref="C6:E6"/>
    <mergeCell ref="C7:E7"/>
    <mergeCell ref="F7:G7"/>
    <mergeCell ref="L11:N11"/>
    <mergeCell ref="I11:K11"/>
    <mergeCell ref="F11:H11"/>
    <mergeCell ref="C11:E11"/>
    <mergeCell ref="C10:E10"/>
    <mergeCell ref="F10:H10"/>
    <mergeCell ref="I10:K10"/>
    <mergeCell ref="L10:N10"/>
  </mergeCells>
  <pageMargins left="0.7" right="0.7" top="0.75" bottom="0.75" header="0.3" footer="0.3"/>
  <pageSetup paperSize="9" orientation="portrait" r:id="rId1"/>
  <ignoredErrors>
    <ignoredError sqref="E15:E23" formulaRange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7D85D8-DCC3-4377-BC18-47E89901EDBB}">
          <x14:formula1>
            <xm:f>Input_Log!$V$4:$V$12</xm:f>
          </x14:formula1>
          <xm:sqref>C7:E7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8E725-08B1-4F58-B5BA-0BE88915E727}">
  <dimension ref="C2:V53"/>
  <sheetViews>
    <sheetView showGridLines="0" zoomScale="71" zoomScaleNormal="71" workbookViewId="0">
      <selection activeCell="U6" sqref="U6"/>
    </sheetView>
  </sheetViews>
  <sheetFormatPr defaultRowHeight="14.25"/>
  <sheetData>
    <row r="2" spans="3:22" ht="15" thickBot="1"/>
    <row r="3" spans="3:22" ht="43.5" thickBot="1">
      <c r="C3" s="23" t="s">
        <v>41</v>
      </c>
      <c r="D3" s="24" t="s">
        <v>40</v>
      </c>
      <c r="E3" s="24" t="s">
        <v>0</v>
      </c>
      <c r="F3" s="24" t="s">
        <v>10</v>
      </c>
      <c r="G3" s="24" t="s">
        <v>31</v>
      </c>
      <c r="H3" s="24" t="s">
        <v>39</v>
      </c>
      <c r="I3" s="24" t="s">
        <v>42</v>
      </c>
      <c r="J3" s="24" t="s">
        <v>38</v>
      </c>
      <c r="K3" s="25" t="s">
        <v>37</v>
      </c>
      <c r="L3" s="24" t="s">
        <v>36</v>
      </c>
      <c r="M3" s="24" t="s">
        <v>35</v>
      </c>
      <c r="N3" s="24" t="s">
        <v>34</v>
      </c>
      <c r="O3" s="26" t="s">
        <v>33</v>
      </c>
    </row>
    <row r="4" spans="3:22" ht="57">
      <c r="C4" s="17" t="s">
        <v>43</v>
      </c>
      <c r="D4" s="18" t="s">
        <v>44</v>
      </c>
      <c r="E4" s="19" t="s">
        <v>1</v>
      </c>
      <c r="F4" s="19" t="str">
        <f>VLOOKUP(E4,Lookup_Tables!$C:$D,2,0)</f>
        <v>Limpopo</v>
      </c>
      <c r="G4" s="19" t="s">
        <v>32</v>
      </c>
      <c r="H4" s="19" t="s">
        <v>45</v>
      </c>
      <c r="I4" s="19" t="s">
        <v>46</v>
      </c>
      <c r="J4" s="20">
        <v>5</v>
      </c>
      <c r="K4" s="18" t="s">
        <v>47</v>
      </c>
      <c r="L4" s="20">
        <v>420</v>
      </c>
      <c r="M4" s="21">
        <f>(J4*L4)</f>
        <v>2100</v>
      </c>
      <c r="N4" s="21">
        <v>2500</v>
      </c>
      <c r="O4" s="22">
        <f>(M4-N4)</f>
        <v>-400</v>
      </c>
      <c r="V4" t="s">
        <v>1</v>
      </c>
    </row>
    <row r="5" spans="3:22" ht="28.5">
      <c r="C5" s="9" t="s">
        <v>48</v>
      </c>
      <c r="D5" s="7" t="s">
        <v>44</v>
      </c>
      <c r="E5" s="5" t="s">
        <v>1</v>
      </c>
      <c r="F5" s="5" t="str">
        <f>VLOOKUP(E5,Lookup_Tables!$C:$D,2,0)</f>
        <v>Limpopo</v>
      </c>
      <c r="G5" s="5" t="s">
        <v>32</v>
      </c>
      <c r="H5" s="6" t="s">
        <v>45</v>
      </c>
      <c r="I5" s="5" t="s">
        <v>49</v>
      </c>
      <c r="J5" s="8">
        <v>3</v>
      </c>
      <c r="K5" s="7" t="s">
        <v>47</v>
      </c>
      <c r="L5" s="8">
        <v>180</v>
      </c>
      <c r="M5" s="6">
        <f t="shared" ref="M5:M53" si="0">(J5*L5)</f>
        <v>540</v>
      </c>
      <c r="N5" s="6">
        <v>600</v>
      </c>
      <c r="O5" s="10">
        <f t="shared" ref="O5:O53" si="1">(M5-N5)</f>
        <v>-60</v>
      </c>
      <c r="V5" t="s">
        <v>2</v>
      </c>
    </row>
    <row r="6" spans="3:22" ht="42.75">
      <c r="C6" s="9" t="s">
        <v>50</v>
      </c>
      <c r="D6" s="7" t="s">
        <v>51</v>
      </c>
      <c r="E6" s="5" t="s">
        <v>1</v>
      </c>
      <c r="F6" s="5" t="str">
        <f>VLOOKUP(E6,Lookup_Tables!$C:$D,2,0)</f>
        <v>Limpopo</v>
      </c>
      <c r="G6" s="5" t="s">
        <v>32</v>
      </c>
      <c r="H6" s="6" t="s">
        <v>52</v>
      </c>
      <c r="I6" s="5" t="s">
        <v>53</v>
      </c>
      <c r="J6" s="8">
        <v>50</v>
      </c>
      <c r="K6" s="7" t="s">
        <v>47</v>
      </c>
      <c r="L6" s="8">
        <v>14.5</v>
      </c>
      <c r="M6" s="6">
        <f t="shared" si="0"/>
        <v>725</v>
      </c>
      <c r="N6" s="6">
        <v>750</v>
      </c>
      <c r="O6" s="10">
        <f t="shared" si="1"/>
        <v>-25</v>
      </c>
      <c r="V6" t="s">
        <v>3</v>
      </c>
    </row>
    <row r="7" spans="3:22" ht="42.75">
      <c r="C7" s="9" t="s">
        <v>54</v>
      </c>
      <c r="D7" s="7" t="s">
        <v>55</v>
      </c>
      <c r="E7" s="5" t="s">
        <v>1</v>
      </c>
      <c r="F7" s="5" t="str">
        <f>VLOOKUP(E7,Lookup_Tables!$C:$D,2,0)</f>
        <v>Limpopo</v>
      </c>
      <c r="G7" s="5" t="s">
        <v>56</v>
      </c>
      <c r="H7" s="6" t="s">
        <v>57</v>
      </c>
      <c r="I7" s="5" t="s">
        <v>58</v>
      </c>
      <c r="J7" s="8">
        <v>8</v>
      </c>
      <c r="K7" s="7" t="s">
        <v>59</v>
      </c>
      <c r="L7" s="8">
        <v>350</v>
      </c>
      <c r="M7" s="6">
        <f t="shared" si="0"/>
        <v>2800</v>
      </c>
      <c r="N7" s="6">
        <v>3000</v>
      </c>
      <c r="O7" s="10">
        <f t="shared" si="1"/>
        <v>-200</v>
      </c>
      <c r="V7" t="s">
        <v>4</v>
      </c>
    </row>
    <row r="8" spans="3:22" ht="28.5">
      <c r="C8" s="9" t="s">
        <v>60</v>
      </c>
      <c r="D8" s="7" t="s">
        <v>61</v>
      </c>
      <c r="E8" s="5" t="s">
        <v>1</v>
      </c>
      <c r="F8" s="5" t="str">
        <f>VLOOKUP(E8,Lookup_Tables!$C:$D,2,0)</f>
        <v>Limpopo</v>
      </c>
      <c r="G8" s="5" t="s">
        <v>32</v>
      </c>
      <c r="H8" s="6" t="s">
        <v>62</v>
      </c>
      <c r="I8" s="5" t="s">
        <v>63</v>
      </c>
      <c r="J8" s="8">
        <v>10</v>
      </c>
      <c r="K8" s="7" t="s">
        <v>64</v>
      </c>
      <c r="L8" s="8">
        <v>280</v>
      </c>
      <c r="M8" s="6">
        <f t="shared" si="0"/>
        <v>2800</v>
      </c>
      <c r="N8" s="6">
        <v>3000</v>
      </c>
      <c r="O8" s="10">
        <f t="shared" si="1"/>
        <v>-200</v>
      </c>
      <c r="V8" t="s">
        <v>5</v>
      </c>
    </row>
    <row r="9" spans="3:22" ht="42.75">
      <c r="C9" s="9" t="s">
        <v>65</v>
      </c>
      <c r="D9" s="7" t="s">
        <v>66</v>
      </c>
      <c r="E9" s="5" t="s">
        <v>2</v>
      </c>
      <c r="F9" s="5" t="str">
        <f>VLOOKUP(E9,Lookup_Tables!$C:$D,2,0)</f>
        <v>Kwa-Zulu-Natal</v>
      </c>
      <c r="G9" s="5" t="s">
        <v>67</v>
      </c>
      <c r="H9" s="6" t="s">
        <v>45</v>
      </c>
      <c r="I9" s="5" t="s">
        <v>68</v>
      </c>
      <c r="J9" s="8">
        <v>4</v>
      </c>
      <c r="K9" s="7" t="s">
        <v>47</v>
      </c>
      <c r="L9" s="8">
        <v>390</v>
      </c>
      <c r="M9" s="6">
        <f t="shared" si="0"/>
        <v>1560</v>
      </c>
      <c r="N9" s="6">
        <v>1800</v>
      </c>
      <c r="O9" s="10">
        <f t="shared" si="1"/>
        <v>-240</v>
      </c>
      <c r="V9" t="s">
        <v>6</v>
      </c>
    </row>
    <row r="10" spans="3:22" ht="42.75">
      <c r="C10" s="9" t="s">
        <v>69</v>
      </c>
      <c r="D10" s="7" t="s">
        <v>66</v>
      </c>
      <c r="E10" s="5" t="s">
        <v>2</v>
      </c>
      <c r="F10" s="5" t="str">
        <f>VLOOKUP(E10,Lookup_Tables!$C:$D,2,0)</f>
        <v>Kwa-Zulu-Natal</v>
      </c>
      <c r="G10" s="5" t="s">
        <v>67</v>
      </c>
      <c r="H10" s="6" t="s">
        <v>52</v>
      </c>
      <c r="I10" s="5" t="s">
        <v>70</v>
      </c>
      <c r="J10" s="8">
        <v>80</v>
      </c>
      <c r="K10" s="7" t="s">
        <v>47</v>
      </c>
      <c r="L10" s="8">
        <v>12.8</v>
      </c>
      <c r="M10" s="6">
        <f t="shared" si="0"/>
        <v>1024</v>
      </c>
      <c r="N10" s="6">
        <v>1100</v>
      </c>
      <c r="O10" s="10">
        <f t="shared" si="1"/>
        <v>-76</v>
      </c>
      <c r="V10" t="s">
        <v>7</v>
      </c>
    </row>
    <row r="11" spans="3:22" ht="42.75">
      <c r="C11" s="9" t="s">
        <v>71</v>
      </c>
      <c r="D11" s="7" t="s">
        <v>72</v>
      </c>
      <c r="E11" s="5" t="s">
        <v>2</v>
      </c>
      <c r="F11" s="5" t="str">
        <f>VLOOKUP(E11,Lookup_Tables!$C:$D,2,0)</f>
        <v>Kwa-Zulu-Natal</v>
      </c>
      <c r="G11" s="5" t="s">
        <v>67</v>
      </c>
      <c r="H11" s="6" t="s">
        <v>73</v>
      </c>
      <c r="I11" s="5" t="s">
        <v>74</v>
      </c>
      <c r="J11" s="8">
        <v>5</v>
      </c>
      <c r="K11" s="7" t="s">
        <v>75</v>
      </c>
      <c r="L11" s="8">
        <v>220</v>
      </c>
      <c r="M11" s="6">
        <f t="shared" si="0"/>
        <v>1100</v>
      </c>
      <c r="N11" s="6">
        <v>1200</v>
      </c>
      <c r="O11" s="10">
        <f t="shared" si="1"/>
        <v>-100</v>
      </c>
      <c r="V11" t="s">
        <v>8</v>
      </c>
    </row>
    <row r="12" spans="3:22" ht="28.5">
      <c r="C12" s="9" t="s">
        <v>76</v>
      </c>
      <c r="D12" s="7" t="s">
        <v>72</v>
      </c>
      <c r="E12" s="5" t="s">
        <v>2</v>
      </c>
      <c r="F12" s="5" t="str">
        <f>VLOOKUP(E12,Lookup_Tables!$C:$D,2,0)</f>
        <v>Kwa-Zulu-Natal</v>
      </c>
      <c r="G12" s="5" t="s">
        <v>67</v>
      </c>
      <c r="H12" s="6" t="s">
        <v>57</v>
      </c>
      <c r="I12" s="5" t="s">
        <v>77</v>
      </c>
      <c r="J12" s="8">
        <v>10</v>
      </c>
      <c r="K12" s="7" t="s">
        <v>59</v>
      </c>
      <c r="L12" s="8">
        <v>320</v>
      </c>
      <c r="M12" s="6">
        <f t="shared" si="0"/>
        <v>3200</v>
      </c>
      <c r="N12" s="6">
        <v>3500</v>
      </c>
      <c r="O12" s="10">
        <f t="shared" si="1"/>
        <v>-300</v>
      </c>
      <c r="V12" t="s">
        <v>9</v>
      </c>
    </row>
    <row r="13" spans="3:22" ht="42.75">
      <c r="C13" s="9" t="s">
        <v>78</v>
      </c>
      <c r="D13" s="7" t="s">
        <v>79</v>
      </c>
      <c r="E13" s="5" t="s">
        <v>2</v>
      </c>
      <c r="F13" s="5" t="str">
        <f>VLOOKUP(E13,Lookup_Tables!$C:$D,2,0)</f>
        <v>Kwa-Zulu-Natal</v>
      </c>
      <c r="G13" s="5" t="s">
        <v>67</v>
      </c>
      <c r="H13" s="6" t="s">
        <v>80</v>
      </c>
      <c r="I13" s="5" t="s">
        <v>81</v>
      </c>
      <c r="J13" s="8">
        <v>3</v>
      </c>
      <c r="K13" s="7" t="s">
        <v>82</v>
      </c>
      <c r="L13" s="8">
        <v>450</v>
      </c>
      <c r="M13" s="6">
        <f t="shared" si="0"/>
        <v>1350</v>
      </c>
      <c r="N13" s="6">
        <v>1500</v>
      </c>
      <c r="O13" s="10">
        <f t="shared" si="1"/>
        <v>-150</v>
      </c>
    </row>
    <row r="14" spans="3:22" ht="42.75">
      <c r="C14" s="9" t="s">
        <v>83</v>
      </c>
      <c r="D14" s="7" t="s">
        <v>84</v>
      </c>
      <c r="E14" s="5" t="s">
        <v>3</v>
      </c>
      <c r="F14" s="5" t="str">
        <f>VLOOKUP(E14,Lookup_Tables!$C:$D,2,0)</f>
        <v>Western Cape</v>
      </c>
      <c r="G14" s="5" t="s">
        <v>67</v>
      </c>
      <c r="H14" s="6" t="s">
        <v>45</v>
      </c>
      <c r="I14" s="5" t="s">
        <v>85</v>
      </c>
      <c r="J14" s="8">
        <v>6</v>
      </c>
      <c r="K14" s="7" t="s">
        <v>47</v>
      </c>
      <c r="L14" s="8">
        <v>310</v>
      </c>
      <c r="M14" s="6">
        <f t="shared" si="0"/>
        <v>1860</v>
      </c>
      <c r="N14" s="6">
        <v>2000</v>
      </c>
      <c r="O14" s="10">
        <f t="shared" si="1"/>
        <v>-140</v>
      </c>
    </row>
    <row r="15" spans="3:22" ht="42.75">
      <c r="C15" s="9" t="s">
        <v>86</v>
      </c>
      <c r="D15" s="7" t="s">
        <v>84</v>
      </c>
      <c r="E15" s="5" t="s">
        <v>3</v>
      </c>
      <c r="F15" s="5" t="str">
        <f>VLOOKUP(E15,Lookup_Tables!$C:$D,2,0)</f>
        <v>Western Cape</v>
      </c>
      <c r="G15" s="5" t="s">
        <v>67</v>
      </c>
      <c r="H15" s="6" t="s">
        <v>52</v>
      </c>
      <c r="I15" s="5" t="s">
        <v>87</v>
      </c>
      <c r="J15" s="8">
        <v>60</v>
      </c>
      <c r="K15" s="7" t="s">
        <v>47</v>
      </c>
      <c r="L15" s="8">
        <v>16.2</v>
      </c>
      <c r="M15" s="6">
        <f t="shared" si="0"/>
        <v>972</v>
      </c>
      <c r="N15" s="6">
        <v>1050</v>
      </c>
      <c r="O15" s="10">
        <f t="shared" si="1"/>
        <v>-78</v>
      </c>
    </row>
    <row r="16" spans="3:22" ht="42.75">
      <c r="C16" s="9" t="s">
        <v>88</v>
      </c>
      <c r="D16" s="7" t="s">
        <v>89</v>
      </c>
      <c r="E16" s="5" t="s">
        <v>3</v>
      </c>
      <c r="F16" s="5" t="str">
        <f>VLOOKUP(E16,Lookup_Tables!$C:$D,2,0)</f>
        <v>Western Cape</v>
      </c>
      <c r="G16" s="5" t="s">
        <v>67</v>
      </c>
      <c r="H16" s="6" t="s">
        <v>73</v>
      </c>
      <c r="I16" s="5" t="s">
        <v>90</v>
      </c>
      <c r="J16" s="8">
        <v>4</v>
      </c>
      <c r="K16" s="7" t="s">
        <v>75</v>
      </c>
      <c r="L16" s="8">
        <v>380</v>
      </c>
      <c r="M16" s="6">
        <f t="shared" si="0"/>
        <v>1520</v>
      </c>
      <c r="N16" s="6">
        <v>1700</v>
      </c>
      <c r="O16" s="10">
        <f t="shared" si="1"/>
        <v>-180</v>
      </c>
    </row>
    <row r="17" spans="3:15" ht="42.75">
      <c r="C17" s="9" t="s">
        <v>91</v>
      </c>
      <c r="D17" s="5" t="s">
        <v>89</v>
      </c>
      <c r="E17" s="5" t="s">
        <v>3</v>
      </c>
      <c r="F17" s="5" t="str">
        <f>VLOOKUP(E17,Lookup_Tables!$C:$D,2,0)</f>
        <v>Western Cape</v>
      </c>
      <c r="G17" s="5" t="s">
        <v>67</v>
      </c>
      <c r="H17" s="5" t="s">
        <v>92</v>
      </c>
      <c r="I17" s="5" t="s">
        <v>93</v>
      </c>
      <c r="J17" s="8">
        <v>1</v>
      </c>
      <c r="K17" s="7" t="s">
        <v>94</v>
      </c>
      <c r="L17" s="8">
        <v>1800</v>
      </c>
      <c r="M17" s="6">
        <f t="shared" si="0"/>
        <v>1800</v>
      </c>
      <c r="N17" s="6">
        <v>2000</v>
      </c>
      <c r="O17" s="10">
        <f t="shared" si="1"/>
        <v>-200</v>
      </c>
    </row>
    <row r="18" spans="3:15" ht="42.75">
      <c r="C18" s="9" t="s">
        <v>95</v>
      </c>
      <c r="D18" s="7"/>
      <c r="E18" s="5" t="s">
        <v>3</v>
      </c>
      <c r="F18" s="5" t="str">
        <f>VLOOKUP(E18,Lookup_Tables!$C:$D,2,0)</f>
        <v>Western Cape</v>
      </c>
      <c r="G18" s="5" t="s">
        <v>67</v>
      </c>
      <c r="H18" s="6" t="s">
        <v>57</v>
      </c>
      <c r="I18" s="5" t="s">
        <v>96</v>
      </c>
      <c r="J18" s="8">
        <v>12</v>
      </c>
      <c r="K18" s="7" t="s">
        <v>59</v>
      </c>
      <c r="L18" s="8">
        <v>300</v>
      </c>
      <c r="M18" s="6">
        <f t="shared" si="0"/>
        <v>3600</v>
      </c>
      <c r="N18" s="6">
        <v>4000</v>
      </c>
      <c r="O18" s="10">
        <f t="shared" si="1"/>
        <v>-400</v>
      </c>
    </row>
    <row r="19" spans="3:15" ht="42.75">
      <c r="C19" s="9" t="s">
        <v>97</v>
      </c>
      <c r="D19" s="7" t="s">
        <v>98</v>
      </c>
      <c r="E19" s="5" t="s">
        <v>4</v>
      </c>
      <c r="F19" s="5" t="str">
        <f>VLOOKUP(E19,Lookup_Tables!$C:$D,2,0)</f>
        <v>Gauteng</v>
      </c>
      <c r="G19" s="5" t="s">
        <v>67</v>
      </c>
      <c r="H19" s="6" t="s">
        <v>45</v>
      </c>
      <c r="I19" s="5" t="s">
        <v>99</v>
      </c>
      <c r="J19" s="8">
        <v>2</v>
      </c>
      <c r="K19" s="7" t="s">
        <v>47</v>
      </c>
      <c r="L19" s="8">
        <v>490</v>
      </c>
      <c r="M19" s="6">
        <f t="shared" si="0"/>
        <v>980</v>
      </c>
      <c r="N19" s="6">
        <v>1100</v>
      </c>
      <c r="O19" s="10">
        <f t="shared" si="1"/>
        <v>-120</v>
      </c>
    </row>
    <row r="20" spans="3:15" ht="28.5">
      <c r="C20" s="9" t="s">
        <v>100</v>
      </c>
      <c r="D20" s="7" t="s">
        <v>98</v>
      </c>
      <c r="E20" s="5" t="s">
        <v>4</v>
      </c>
      <c r="F20" s="5" t="str">
        <f>VLOOKUP(E20,Lookup_Tables!$C:$D,2,0)</f>
        <v>Gauteng</v>
      </c>
      <c r="G20" s="5" t="s">
        <v>67</v>
      </c>
      <c r="H20" s="6" t="s">
        <v>45</v>
      </c>
      <c r="I20" s="5" t="s">
        <v>101</v>
      </c>
      <c r="J20" s="8">
        <v>1</v>
      </c>
      <c r="K20" s="7" t="s">
        <v>47</v>
      </c>
      <c r="L20" s="8">
        <v>650</v>
      </c>
      <c r="M20" s="6">
        <f t="shared" si="0"/>
        <v>650</v>
      </c>
      <c r="N20" s="6">
        <v>700</v>
      </c>
      <c r="O20" s="10">
        <f t="shared" si="1"/>
        <v>-50</v>
      </c>
    </row>
    <row r="21" spans="3:15" ht="28.5">
      <c r="C21" s="9" t="s">
        <v>102</v>
      </c>
      <c r="D21" s="7" t="s">
        <v>103</v>
      </c>
      <c r="E21" s="5" t="s">
        <v>4</v>
      </c>
      <c r="F21" s="5" t="str">
        <f>VLOOKUP(E21,Lookup_Tables!$C:$D,2,0)</f>
        <v>Gauteng</v>
      </c>
      <c r="G21" s="5" t="s">
        <v>67</v>
      </c>
      <c r="H21" s="6" t="s">
        <v>52</v>
      </c>
      <c r="I21" s="5" t="s">
        <v>104</v>
      </c>
      <c r="J21" s="8">
        <v>30</v>
      </c>
      <c r="K21" s="7" t="s">
        <v>47</v>
      </c>
      <c r="L21" s="8">
        <v>22</v>
      </c>
      <c r="M21" s="6">
        <f t="shared" si="0"/>
        <v>660</v>
      </c>
      <c r="N21" s="6">
        <v>700</v>
      </c>
      <c r="O21" s="10">
        <f t="shared" si="1"/>
        <v>-40</v>
      </c>
    </row>
    <row r="22" spans="3:15" ht="28.5">
      <c r="C22" s="9" t="s">
        <v>105</v>
      </c>
      <c r="D22" s="7" t="s">
        <v>103</v>
      </c>
      <c r="E22" s="5" t="s">
        <v>4</v>
      </c>
      <c r="F22" s="5" t="str">
        <f>VLOOKUP(E22,Lookup_Tables!$C:$D,2,0)</f>
        <v>Gauteng</v>
      </c>
      <c r="G22" s="5" t="s">
        <v>67</v>
      </c>
      <c r="H22" s="6" t="s">
        <v>57</v>
      </c>
      <c r="I22" s="5" t="s">
        <v>106</v>
      </c>
      <c r="J22" s="8">
        <v>6</v>
      </c>
      <c r="K22" s="7" t="s">
        <v>59</v>
      </c>
      <c r="L22" s="8">
        <v>380</v>
      </c>
      <c r="M22" s="6">
        <f t="shared" si="0"/>
        <v>2280</v>
      </c>
      <c r="N22" s="6">
        <v>2500</v>
      </c>
      <c r="O22" s="10">
        <f t="shared" si="1"/>
        <v>-220</v>
      </c>
    </row>
    <row r="23" spans="3:15" ht="28.5">
      <c r="C23" s="9" t="s">
        <v>107</v>
      </c>
      <c r="D23" s="7" t="s">
        <v>108</v>
      </c>
      <c r="E23" s="5" t="s">
        <v>4</v>
      </c>
      <c r="F23" s="5" t="str">
        <f>VLOOKUP(E23,Lookup_Tables!$C:$D,2,0)</f>
        <v>Gauteng</v>
      </c>
      <c r="G23" s="5" t="s">
        <v>67</v>
      </c>
      <c r="H23" s="6" t="s">
        <v>109</v>
      </c>
      <c r="I23" s="5" t="s">
        <v>110</v>
      </c>
      <c r="J23" s="8">
        <v>50</v>
      </c>
      <c r="K23" s="7" t="s">
        <v>94</v>
      </c>
      <c r="L23" s="8">
        <v>45</v>
      </c>
      <c r="M23" s="6">
        <f t="shared" si="0"/>
        <v>2250</v>
      </c>
      <c r="N23" s="6">
        <v>2500</v>
      </c>
      <c r="O23" s="10">
        <f t="shared" si="1"/>
        <v>-250</v>
      </c>
    </row>
    <row r="24" spans="3:15" ht="42.75">
      <c r="C24" s="9" t="s">
        <v>111</v>
      </c>
      <c r="D24" s="7" t="s">
        <v>112</v>
      </c>
      <c r="E24" s="5" t="s">
        <v>5</v>
      </c>
      <c r="F24" s="5" t="str">
        <f>VLOOKUP(E24,Lookup_Tables!$C:$D,2,0)</f>
        <v>North West</v>
      </c>
      <c r="G24" s="5" t="s">
        <v>67</v>
      </c>
      <c r="H24" s="6" t="s">
        <v>45</v>
      </c>
      <c r="I24" s="5" t="s">
        <v>113</v>
      </c>
      <c r="J24" s="8">
        <v>20</v>
      </c>
      <c r="K24" s="7" t="s">
        <v>47</v>
      </c>
      <c r="L24" s="8">
        <v>85</v>
      </c>
      <c r="M24" s="6">
        <f t="shared" si="0"/>
        <v>1700</v>
      </c>
      <c r="N24" s="6">
        <v>2000</v>
      </c>
      <c r="O24" s="10">
        <f t="shared" si="1"/>
        <v>-300</v>
      </c>
    </row>
    <row r="25" spans="3:15" ht="28.5">
      <c r="C25" s="9" t="s">
        <v>114</v>
      </c>
      <c r="D25" s="7" t="s">
        <v>112</v>
      </c>
      <c r="E25" s="5" t="s">
        <v>5</v>
      </c>
      <c r="F25" s="5" t="str">
        <f>VLOOKUP(E25,Lookup_Tables!$C:$D,2,0)</f>
        <v>North West</v>
      </c>
      <c r="G25" s="5" t="s">
        <v>67</v>
      </c>
      <c r="H25" s="6" t="s">
        <v>52</v>
      </c>
      <c r="I25" s="5" t="s">
        <v>115</v>
      </c>
      <c r="J25" s="8">
        <v>70</v>
      </c>
      <c r="K25" s="7" t="s">
        <v>47</v>
      </c>
      <c r="L25" s="8">
        <v>11.5</v>
      </c>
      <c r="M25" s="6">
        <f t="shared" si="0"/>
        <v>805</v>
      </c>
      <c r="N25" s="6">
        <v>900</v>
      </c>
      <c r="O25" s="10">
        <f t="shared" si="1"/>
        <v>-95</v>
      </c>
    </row>
    <row r="26" spans="3:15" ht="57">
      <c r="C26" s="9" t="s">
        <v>116</v>
      </c>
      <c r="D26" s="7" t="s">
        <v>117</v>
      </c>
      <c r="E26" s="5" t="s">
        <v>5</v>
      </c>
      <c r="F26" s="5" t="str">
        <f>VLOOKUP(E26,Lookup_Tables!$C:$D,2,0)</f>
        <v>North West</v>
      </c>
      <c r="G26" s="5" t="s">
        <v>67</v>
      </c>
      <c r="H26" s="6" t="s">
        <v>73</v>
      </c>
      <c r="I26" s="5" t="s">
        <v>118</v>
      </c>
      <c r="J26" s="8">
        <v>3</v>
      </c>
      <c r="K26" s="7" t="s">
        <v>75</v>
      </c>
      <c r="L26" s="8">
        <v>410</v>
      </c>
      <c r="M26" s="6">
        <f t="shared" si="0"/>
        <v>1230</v>
      </c>
      <c r="N26" s="6">
        <v>1400</v>
      </c>
      <c r="O26" s="10">
        <f t="shared" si="1"/>
        <v>-170</v>
      </c>
    </row>
    <row r="27" spans="3:15" ht="42.75">
      <c r="C27" s="9" t="s">
        <v>119</v>
      </c>
      <c r="D27" s="7" t="s">
        <v>117</v>
      </c>
      <c r="E27" s="5" t="s">
        <v>5</v>
      </c>
      <c r="F27" s="5" t="str">
        <f>VLOOKUP(E27,Lookup_Tables!$C:$D,2,0)</f>
        <v>North West</v>
      </c>
      <c r="G27" s="5" t="s">
        <v>67</v>
      </c>
      <c r="H27" s="6" t="s">
        <v>57</v>
      </c>
      <c r="I27" s="5" t="s">
        <v>120</v>
      </c>
      <c r="J27" s="8">
        <v>5</v>
      </c>
      <c r="K27" s="7" t="s">
        <v>59</v>
      </c>
      <c r="L27" s="8">
        <v>340</v>
      </c>
      <c r="M27" s="6">
        <f t="shared" si="0"/>
        <v>1700</v>
      </c>
      <c r="N27" s="6">
        <v>1800</v>
      </c>
      <c r="O27" s="10">
        <f t="shared" si="1"/>
        <v>-100</v>
      </c>
    </row>
    <row r="28" spans="3:15" ht="57">
      <c r="C28" s="9" t="s">
        <v>121</v>
      </c>
      <c r="D28" s="7" t="s">
        <v>122</v>
      </c>
      <c r="E28" s="5" t="s">
        <v>5</v>
      </c>
      <c r="F28" s="5" t="str">
        <f>VLOOKUP(E28,Lookup_Tables!$C:$D,2,0)</f>
        <v>North West</v>
      </c>
      <c r="G28" s="5" t="s">
        <v>67</v>
      </c>
      <c r="H28" s="6" t="s">
        <v>80</v>
      </c>
      <c r="I28" s="5" t="s">
        <v>123</v>
      </c>
      <c r="J28" s="8">
        <v>2</v>
      </c>
      <c r="K28" s="7" t="s">
        <v>82</v>
      </c>
      <c r="L28" s="8">
        <v>380</v>
      </c>
      <c r="M28" s="6">
        <f t="shared" si="0"/>
        <v>760</v>
      </c>
      <c r="N28" s="6">
        <v>800</v>
      </c>
      <c r="O28" s="10">
        <f t="shared" si="1"/>
        <v>-40</v>
      </c>
    </row>
    <row r="29" spans="3:15" ht="57">
      <c r="C29" s="9" t="s">
        <v>124</v>
      </c>
      <c r="D29" s="7" t="s">
        <v>125</v>
      </c>
      <c r="E29" s="5" t="s">
        <v>6</v>
      </c>
      <c r="F29" s="5" t="str">
        <f>VLOOKUP(E29,Lookup_Tables!$C:$D,2,0)</f>
        <v>Mpumalanga</v>
      </c>
      <c r="G29" s="5" t="s">
        <v>67</v>
      </c>
      <c r="H29" s="6" t="s">
        <v>45</v>
      </c>
      <c r="I29" s="5" t="s">
        <v>126</v>
      </c>
      <c r="J29" s="8">
        <v>25</v>
      </c>
      <c r="K29" s="7" t="s">
        <v>47</v>
      </c>
      <c r="L29" s="8">
        <v>98</v>
      </c>
      <c r="M29" s="6">
        <f t="shared" si="0"/>
        <v>2450</v>
      </c>
      <c r="N29" s="6">
        <v>2800</v>
      </c>
      <c r="O29" s="10">
        <f t="shared" si="1"/>
        <v>-350</v>
      </c>
    </row>
    <row r="30" spans="3:15" ht="28.5">
      <c r="C30" s="9" t="s">
        <v>127</v>
      </c>
      <c r="D30" s="7" t="s">
        <v>125</v>
      </c>
      <c r="E30" s="5" t="s">
        <v>6</v>
      </c>
      <c r="F30" s="5" t="str">
        <f>VLOOKUP(E30,Lookup_Tables!$C:$D,2,0)</f>
        <v>Mpumalanga</v>
      </c>
      <c r="G30" s="5" t="s">
        <v>67</v>
      </c>
      <c r="H30" s="6" t="s">
        <v>45</v>
      </c>
      <c r="I30" s="5" t="s">
        <v>128</v>
      </c>
      <c r="J30" s="8">
        <v>15</v>
      </c>
      <c r="K30" s="7" t="s">
        <v>47</v>
      </c>
      <c r="L30" s="8">
        <v>120</v>
      </c>
      <c r="M30" s="6">
        <f t="shared" si="0"/>
        <v>1800</v>
      </c>
      <c r="N30" s="6">
        <v>2000</v>
      </c>
      <c r="O30" s="10">
        <f t="shared" si="1"/>
        <v>-200</v>
      </c>
    </row>
    <row r="31" spans="3:15" ht="42.75">
      <c r="C31" s="9" t="s">
        <v>129</v>
      </c>
      <c r="D31" s="7" t="s">
        <v>130</v>
      </c>
      <c r="E31" s="5" t="s">
        <v>6</v>
      </c>
      <c r="F31" s="5" t="str">
        <f>VLOOKUP(E31,Lookup_Tables!$C:$D,2,0)</f>
        <v>Mpumalanga</v>
      </c>
      <c r="G31" s="5" t="s">
        <v>67</v>
      </c>
      <c r="H31" s="6" t="s">
        <v>52</v>
      </c>
      <c r="I31" s="5" t="s">
        <v>53</v>
      </c>
      <c r="J31" s="8">
        <v>100</v>
      </c>
      <c r="K31" s="7" t="s">
        <v>47</v>
      </c>
      <c r="L31" s="8">
        <v>14.5</v>
      </c>
      <c r="M31" s="6">
        <f t="shared" si="0"/>
        <v>1450</v>
      </c>
      <c r="N31" s="6">
        <v>1600</v>
      </c>
      <c r="O31" s="10">
        <f t="shared" si="1"/>
        <v>-150</v>
      </c>
    </row>
    <row r="32" spans="3:15" ht="28.5">
      <c r="C32" s="9" t="s">
        <v>131</v>
      </c>
      <c r="D32" s="7" t="s">
        <v>130</v>
      </c>
      <c r="E32" s="5" t="s">
        <v>6</v>
      </c>
      <c r="F32" s="5" t="str">
        <f>VLOOKUP(E32,Lookup_Tables!$C:$D,2,0)</f>
        <v>Mpumalanga</v>
      </c>
      <c r="G32" s="5" t="s">
        <v>67</v>
      </c>
      <c r="H32" s="6" t="s">
        <v>73</v>
      </c>
      <c r="I32" s="5" t="s">
        <v>132</v>
      </c>
      <c r="J32" s="8">
        <v>8</v>
      </c>
      <c r="K32" s="7" t="s">
        <v>75</v>
      </c>
      <c r="L32" s="8">
        <v>195</v>
      </c>
      <c r="M32" s="6">
        <f t="shared" si="0"/>
        <v>1560</v>
      </c>
      <c r="N32" s="6">
        <v>1700</v>
      </c>
      <c r="O32" s="10">
        <f t="shared" si="1"/>
        <v>-140</v>
      </c>
    </row>
    <row r="33" spans="3:15" ht="28.5">
      <c r="C33" s="9" t="s">
        <v>133</v>
      </c>
      <c r="D33" s="7" t="s">
        <v>134</v>
      </c>
      <c r="E33" s="5" t="s">
        <v>6</v>
      </c>
      <c r="F33" s="5" t="str">
        <f>VLOOKUP(E33,Lookup_Tables!$C:$D,2,0)</f>
        <v>Mpumalanga</v>
      </c>
      <c r="G33" s="5" t="s">
        <v>67</v>
      </c>
      <c r="H33" s="6" t="s">
        <v>57</v>
      </c>
      <c r="I33" s="5" t="s">
        <v>135</v>
      </c>
      <c r="J33" s="8">
        <v>15</v>
      </c>
      <c r="K33" s="7" t="s">
        <v>59</v>
      </c>
      <c r="L33" s="8">
        <v>350</v>
      </c>
      <c r="M33" s="6">
        <f t="shared" si="0"/>
        <v>5250</v>
      </c>
      <c r="N33" s="6">
        <v>5500</v>
      </c>
      <c r="O33" s="10">
        <f t="shared" si="1"/>
        <v>-250</v>
      </c>
    </row>
    <row r="34" spans="3:15" ht="28.5">
      <c r="C34" s="9" t="s">
        <v>136</v>
      </c>
      <c r="D34" s="7" t="s">
        <v>137</v>
      </c>
      <c r="E34" s="5" t="s">
        <v>7</v>
      </c>
      <c r="F34" s="5" t="str">
        <f>VLOOKUP(E34,Lookup_Tables!$C:$D,2,0)</f>
        <v>Northern Cape</v>
      </c>
      <c r="G34" s="5" t="s">
        <v>67</v>
      </c>
      <c r="H34" s="6" t="s">
        <v>45</v>
      </c>
      <c r="I34" s="5" t="s">
        <v>138</v>
      </c>
      <c r="J34" s="8">
        <v>8</v>
      </c>
      <c r="K34" s="7" t="s">
        <v>47</v>
      </c>
      <c r="L34" s="8">
        <v>275</v>
      </c>
      <c r="M34" s="6">
        <f t="shared" si="0"/>
        <v>2200</v>
      </c>
      <c r="N34" s="6">
        <v>2500</v>
      </c>
      <c r="O34" s="10">
        <f t="shared" si="1"/>
        <v>-300</v>
      </c>
    </row>
    <row r="35" spans="3:15" ht="42.75">
      <c r="C35" s="9" t="s">
        <v>139</v>
      </c>
      <c r="D35" s="7" t="s">
        <v>137</v>
      </c>
      <c r="E35" s="5" t="s">
        <v>7</v>
      </c>
      <c r="F35" s="5" t="str">
        <f>VLOOKUP(E35,Lookup_Tables!$C:$D,2,0)</f>
        <v>Northern Cape</v>
      </c>
      <c r="G35" s="5" t="s">
        <v>67</v>
      </c>
      <c r="H35" s="6" t="s">
        <v>62</v>
      </c>
      <c r="I35" s="5" t="s">
        <v>140</v>
      </c>
      <c r="J35" s="8">
        <v>1</v>
      </c>
      <c r="K35" s="7" t="s">
        <v>94</v>
      </c>
      <c r="L35" s="8">
        <v>4500</v>
      </c>
      <c r="M35" s="6">
        <f t="shared" si="0"/>
        <v>4500</v>
      </c>
      <c r="N35" s="6">
        <v>5000</v>
      </c>
      <c r="O35" s="10">
        <f t="shared" si="1"/>
        <v>-500</v>
      </c>
    </row>
    <row r="36" spans="3:15" ht="28.5">
      <c r="C36" s="9" t="s">
        <v>141</v>
      </c>
      <c r="D36" s="7" t="s">
        <v>142</v>
      </c>
      <c r="E36" s="5" t="s">
        <v>7</v>
      </c>
      <c r="F36" s="5" t="str">
        <f>VLOOKUP(E36,Lookup_Tables!$C:$D,2,0)</f>
        <v>Northern Cape</v>
      </c>
      <c r="G36" s="5" t="s">
        <v>67</v>
      </c>
      <c r="H36" s="6" t="s">
        <v>52</v>
      </c>
      <c r="I36" s="5" t="s">
        <v>143</v>
      </c>
      <c r="J36" s="8">
        <v>40</v>
      </c>
      <c r="K36" s="7" t="s">
        <v>47</v>
      </c>
      <c r="L36" s="8">
        <v>18.5</v>
      </c>
      <c r="M36" s="6">
        <f t="shared" si="0"/>
        <v>740</v>
      </c>
      <c r="N36" s="6">
        <v>800</v>
      </c>
      <c r="O36" s="10">
        <f t="shared" si="1"/>
        <v>-60</v>
      </c>
    </row>
    <row r="37" spans="3:15" ht="42.75">
      <c r="C37" s="9" t="s">
        <v>144</v>
      </c>
      <c r="D37" s="7" t="s">
        <v>142</v>
      </c>
      <c r="E37" s="5" t="s">
        <v>7</v>
      </c>
      <c r="F37" s="5" t="str">
        <f>VLOOKUP(E37,Lookup_Tables!$C:$D,2,0)</f>
        <v>Northern Cape</v>
      </c>
      <c r="G37" s="5" t="s">
        <v>67</v>
      </c>
      <c r="H37" s="6" t="s">
        <v>57</v>
      </c>
      <c r="I37" s="5" t="s">
        <v>145</v>
      </c>
      <c r="J37" s="8">
        <v>8</v>
      </c>
      <c r="K37" s="7" t="s">
        <v>59</v>
      </c>
      <c r="L37" s="8">
        <v>310</v>
      </c>
      <c r="M37" s="6">
        <f t="shared" si="0"/>
        <v>2480</v>
      </c>
      <c r="N37" s="6">
        <v>2600</v>
      </c>
      <c r="O37" s="10">
        <f t="shared" si="1"/>
        <v>-120</v>
      </c>
    </row>
    <row r="38" spans="3:15" ht="42.75">
      <c r="C38" s="9" t="s">
        <v>146</v>
      </c>
      <c r="D38" s="7" t="s">
        <v>147</v>
      </c>
      <c r="E38" s="5" t="s">
        <v>7</v>
      </c>
      <c r="F38" s="5" t="str">
        <f>VLOOKUP(E38,Lookup_Tables!$C:$D,2,0)</f>
        <v>Northern Cape</v>
      </c>
      <c r="G38" s="5" t="s">
        <v>67</v>
      </c>
      <c r="H38" s="6" t="s">
        <v>73</v>
      </c>
      <c r="I38" s="5" t="s">
        <v>148</v>
      </c>
      <c r="J38" s="8">
        <v>3</v>
      </c>
      <c r="K38" s="7" t="s">
        <v>75</v>
      </c>
      <c r="L38" s="8">
        <v>290</v>
      </c>
      <c r="M38" s="6">
        <f t="shared" si="0"/>
        <v>870</v>
      </c>
      <c r="N38" s="6">
        <v>950</v>
      </c>
      <c r="O38" s="10">
        <f t="shared" si="1"/>
        <v>-80</v>
      </c>
    </row>
    <row r="39" spans="3:15" ht="28.5">
      <c r="C39" s="9" t="s">
        <v>149</v>
      </c>
      <c r="D39" s="7" t="s">
        <v>150</v>
      </c>
      <c r="E39" s="5" t="s">
        <v>8</v>
      </c>
      <c r="F39" s="5" t="str">
        <f>VLOOKUP(E39,Lookup_Tables!$C:$D,2,0)</f>
        <v>Eastern Cape</v>
      </c>
      <c r="G39" s="5" t="s">
        <v>67</v>
      </c>
      <c r="H39" s="6" t="s">
        <v>45</v>
      </c>
      <c r="I39" s="5" t="s">
        <v>151</v>
      </c>
      <c r="J39" s="8">
        <v>2</v>
      </c>
      <c r="K39" s="7" t="s">
        <v>47</v>
      </c>
      <c r="L39" s="8">
        <v>720</v>
      </c>
      <c r="M39" s="6">
        <f t="shared" si="0"/>
        <v>1440</v>
      </c>
      <c r="N39" s="6">
        <v>1600</v>
      </c>
      <c r="O39" s="10">
        <f t="shared" si="1"/>
        <v>-160</v>
      </c>
    </row>
    <row r="40" spans="3:15" ht="28.5">
      <c r="C40" s="9" t="s">
        <v>152</v>
      </c>
      <c r="D40" s="7" t="s">
        <v>150</v>
      </c>
      <c r="E40" s="5" t="s">
        <v>8</v>
      </c>
      <c r="F40" s="5" t="str">
        <f>VLOOKUP(E40,Lookup_Tables!$C:$D,2,0)</f>
        <v>Eastern Cape</v>
      </c>
      <c r="G40" s="5" t="s">
        <v>67</v>
      </c>
      <c r="H40" s="6" t="s">
        <v>45</v>
      </c>
      <c r="I40" s="5" t="s">
        <v>153</v>
      </c>
      <c r="J40" s="8">
        <v>2</v>
      </c>
      <c r="K40" s="7" t="s">
        <v>47</v>
      </c>
      <c r="L40" s="8">
        <v>680</v>
      </c>
      <c r="M40" s="6">
        <f t="shared" si="0"/>
        <v>1360</v>
      </c>
      <c r="N40" s="6">
        <v>1500</v>
      </c>
      <c r="O40" s="10">
        <f t="shared" si="1"/>
        <v>-140</v>
      </c>
    </row>
    <row r="41" spans="3:15" ht="42.75">
      <c r="C41" s="9" t="s">
        <v>154</v>
      </c>
      <c r="D41" s="7" t="s">
        <v>155</v>
      </c>
      <c r="E41" s="5" t="s">
        <v>8</v>
      </c>
      <c r="F41" s="5" t="str">
        <f>VLOOKUP(E41,Lookup_Tables!$C:$D,2,0)</f>
        <v>Eastern Cape</v>
      </c>
      <c r="G41" s="5" t="s">
        <v>67</v>
      </c>
      <c r="H41" s="6" t="s">
        <v>52</v>
      </c>
      <c r="I41" s="5" t="s">
        <v>70</v>
      </c>
      <c r="J41" s="8">
        <v>90</v>
      </c>
      <c r="K41" s="7" t="s">
        <v>47</v>
      </c>
      <c r="L41" s="8">
        <v>12.8</v>
      </c>
      <c r="M41" s="6">
        <f t="shared" si="0"/>
        <v>1152</v>
      </c>
      <c r="N41" s="6">
        <v>1250</v>
      </c>
      <c r="O41" s="10">
        <f t="shared" si="1"/>
        <v>-98</v>
      </c>
    </row>
    <row r="42" spans="3:15" ht="42.75">
      <c r="C42" s="9" t="s">
        <v>156</v>
      </c>
      <c r="D42" s="7" t="s">
        <v>155</v>
      </c>
      <c r="E42" s="5" t="s">
        <v>8</v>
      </c>
      <c r="F42" s="5" t="str">
        <f>VLOOKUP(E42,Lookup_Tables!$C:$D,2,0)</f>
        <v>Eastern Cape</v>
      </c>
      <c r="G42" s="5" t="s">
        <v>67</v>
      </c>
      <c r="H42" s="6" t="s">
        <v>57</v>
      </c>
      <c r="I42" s="5" t="s">
        <v>157</v>
      </c>
      <c r="J42" s="8">
        <v>7</v>
      </c>
      <c r="K42" s="7" t="s">
        <v>59</v>
      </c>
      <c r="L42" s="8">
        <v>330</v>
      </c>
      <c r="M42" s="6">
        <f t="shared" si="0"/>
        <v>2310</v>
      </c>
      <c r="N42" s="6">
        <v>2400</v>
      </c>
      <c r="O42" s="10">
        <f t="shared" si="1"/>
        <v>-90</v>
      </c>
    </row>
    <row r="43" spans="3:15" ht="42.75">
      <c r="C43" s="9" t="s">
        <v>158</v>
      </c>
      <c r="D43" s="7" t="s">
        <v>159</v>
      </c>
      <c r="E43" s="5" t="s">
        <v>8</v>
      </c>
      <c r="F43" s="5" t="str">
        <f>VLOOKUP(E43,Lookup_Tables!$C:$D,2,0)</f>
        <v>Eastern Cape</v>
      </c>
      <c r="G43" s="5" t="s">
        <v>67</v>
      </c>
      <c r="H43" s="6" t="s">
        <v>109</v>
      </c>
      <c r="I43" s="5" t="s">
        <v>160</v>
      </c>
      <c r="J43" s="8">
        <v>100</v>
      </c>
      <c r="K43" s="7" t="s">
        <v>94</v>
      </c>
      <c r="L43" s="8">
        <v>12</v>
      </c>
      <c r="M43" s="6">
        <f t="shared" si="0"/>
        <v>1200</v>
      </c>
      <c r="N43" s="6">
        <v>1300</v>
      </c>
      <c r="O43" s="10">
        <f t="shared" si="1"/>
        <v>-100</v>
      </c>
    </row>
    <row r="44" spans="3:15" ht="42.75">
      <c r="C44" s="9" t="s">
        <v>161</v>
      </c>
      <c r="D44" s="7" t="s">
        <v>162</v>
      </c>
      <c r="E44" s="5" t="s">
        <v>9</v>
      </c>
      <c r="F44" s="5" t="str">
        <f>VLOOKUP(E44,Lookup_Tables!$C:$D,2,0)</f>
        <v>Free State</v>
      </c>
      <c r="G44" s="5" t="s">
        <v>67</v>
      </c>
      <c r="H44" s="6" t="s">
        <v>45</v>
      </c>
      <c r="I44" s="5" t="s">
        <v>163</v>
      </c>
      <c r="J44" s="8">
        <v>3</v>
      </c>
      <c r="K44" s="7" t="s">
        <v>47</v>
      </c>
      <c r="L44" s="8">
        <v>580</v>
      </c>
      <c r="M44" s="6">
        <f t="shared" si="0"/>
        <v>1740</v>
      </c>
      <c r="N44" s="6">
        <v>2000</v>
      </c>
      <c r="O44" s="10">
        <f t="shared" si="1"/>
        <v>-260</v>
      </c>
    </row>
    <row r="45" spans="3:15" ht="42.75">
      <c r="C45" s="9" t="s">
        <v>164</v>
      </c>
      <c r="D45" s="7" t="s">
        <v>162</v>
      </c>
      <c r="E45" s="5" t="s">
        <v>9</v>
      </c>
      <c r="F45" s="6" t="str">
        <f>VLOOKUP(E45,Lookup_Tables!$C:$D,2,0)</f>
        <v>Free State</v>
      </c>
      <c r="G45" s="5" t="s">
        <v>67</v>
      </c>
      <c r="H45" s="6" t="s">
        <v>45</v>
      </c>
      <c r="I45" s="5" t="s">
        <v>165</v>
      </c>
      <c r="J45" s="8">
        <v>2</v>
      </c>
      <c r="K45" s="7" t="s">
        <v>47</v>
      </c>
      <c r="L45" s="8">
        <v>430</v>
      </c>
      <c r="M45" s="6">
        <f t="shared" si="0"/>
        <v>860</v>
      </c>
      <c r="N45" s="6">
        <v>950</v>
      </c>
      <c r="O45" s="10">
        <f t="shared" si="1"/>
        <v>-90</v>
      </c>
    </row>
    <row r="46" spans="3:15" ht="42.75">
      <c r="C46" s="9" t="s">
        <v>166</v>
      </c>
      <c r="D46" s="7" t="s">
        <v>167</v>
      </c>
      <c r="E46" s="5" t="s">
        <v>9</v>
      </c>
      <c r="F46" s="5" t="str">
        <f>VLOOKUP(E46,Lookup_Tables!$C:$D,2,0)</f>
        <v>Free State</v>
      </c>
      <c r="G46" s="5" t="s">
        <v>67</v>
      </c>
      <c r="H46" s="6" t="s">
        <v>52</v>
      </c>
      <c r="I46" s="5" t="s">
        <v>87</v>
      </c>
      <c r="J46" s="8">
        <v>80</v>
      </c>
      <c r="K46" s="7" t="s">
        <v>47</v>
      </c>
      <c r="L46" s="8">
        <v>16.2</v>
      </c>
      <c r="M46" s="6">
        <f t="shared" si="0"/>
        <v>1296</v>
      </c>
      <c r="N46" s="6">
        <v>1400</v>
      </c>
      <c r="O46" s="10">
        <f t="shared" si="1"/>
        <v>-104</v>
      </c>
    </row>
    <row r="47" spans="3:15" ht="42.75">
      <c r="C47" s="9" t="s">
        <v>168</v>
      </c>
      <c r="D47" s="7" t="s">
        <v>167</v>
      </c>
      <c r="E47" s="5" t="s">
        <v>9</v>
      </c>
      <c r="F47" s="5" t="str">
        <f>VLOOKUP(E47,Lookup_Tables!$C:$D,2,0)</f>
        <v>Free State</v>
      </c>
      <c r="G47" s="5" t="s">
        <v>67</v>
      </c>
      <c r="H47" s="6" t="s">
        <v>73</v>
      </c>
      <c r="I47" s="5" t="s">
        <v>169</v>
      </c>
      <c r="J47" s="8">
        <v>4</v>
      </c>
      <c r="K47" s="7" t="s">
        <v>75</v>
      </c>
      <c r="L47" s="8">
        <v>310</v>
      </c>
      <c r="M47" s="6">
        <f t="shared" si="0"/>
        <v>1240</v>
      </c>
      <c r="N47" s="6">
        <v>1300</v>
      </c>
      <c r="O47" s="10">
        <f t="shared" si="1"/>
        <v>-60</v>
      </c>
    </row>
    <row r="48" spans="3:15" ht="57">
      <c r="C48" s="9" t="s">
        <v>170</v>
      </c>
      <c r="D48" s="7" t="s">
        <v>171</v>
      </c>
      <c r="E48" s="5" t="s">
        <v>9</v>
      </c>
      <c r="F48" s="5" t="str">
        <f>VLOOKUP(E48,Lookup_Tables!$C:$D,2,0)</f>
        <v>Free State</v>
      </c>
      <c r="G48" s="5" t="s">
        <v>67</v>
      </c>
      <c r="H48" s="6" t="s">
        <v>57</v>
      </c>
      <c r="I48" s="5" t="s">
        <v>172</v>
      </c>
      <c r="J48" s="8">
        <v>10</v>
      </c>
      <c r="K48" s="7" t="s">
        <v>59</v>
      </c>
      <c r="L48" s="8">
        <v>360</v>
      </c>
      <c r="M48" s="6">
        <f t="shared" si="0"/>
        <v>3600</v>
      </c>
      <c r="N48" s="6">
        <v>3800</v>
      </c>
      <c r="O48" s="10">
        <f t="shared" si="1"/>
        <v>-200</v>
      </c>
    </row>
    <row r="49" spans="3:15" ht="42.75">
      <c r="C49" s="9" t="s">
        <v>173</v>
      </c>
      <c r="D49" s="7" t="s">
        <v>174</v>
      </c>
      <c r="E49" s="5" t="s">
        <v>1</v>
      </c>
      <c r="F49" s="5" t="str">
        <f>VLOOKUP(E49,Lookup_Tables!$C:$D,2,0)</f>
        <v>Limpopo</v>
      </c>
      <c r="G49" s="5" t="s">
        <v>67</v>
      </c>
      <c r="H49" s="6" t="s">
        <v>73</v>
      </c>
      <c r="I49" s="5" t="s">
        <v>175</v>
      </c>
      <c r="J49" s="8">
        <v>4</v>
      </c>
      <c r="K49" s="7" t="s">
        <v>75</v>
      </c>
      <c r="L49" s="8">
        <v>245</v>
      </c>
      <c r="M49" s="6">
        <f t="shared" si="0"/>
        <v>980</v>
      </c>
      <c r="N49" s="6">
        <v>1100</v>
      </c>
      <c r="O49" s="10">
        <f t="shared" si="1"/>
        <v>-120</v>
      </c>
    </row>
    <row r="50" spans="3:15" ht="28.5">
      <c r="C50" s="9" t="s">
        <v>176</v>
      </c>
      <c r="D50" s="7" t="s">
        <v>174</v>
      </c>
      <c r="E50" s="5" t="s">
        <v>1</v>
      </c>
      <c r="F50" s="5" t="str">
        <f>VLOOKUP(E50,Lookup_Tables!$C:$D,2,0)</f>
        <v>Limpopo</v>
      </c>
      <c r="G50" s="5" t="s">
        <v>67</v>
      </c>
      <c r="H50" s="6" t="s">
        <v>80</v>
      </c>
      <c r="I50" s="5" t="s">
        <v>177</v>
      </c>
      <c r="J50" s="8">
        <v>4</v>
      </c>
      <c r="K50" s="7" t="s">
        <v>82</v>
      </c>
      <c r="L50" s="8">
        <v>420</v>
      </c>
      <c r="M50" s="6">
        <f t="shared" si="0"/>
        <v>1680</v>
      </c>
      <c r="N50" s="6">
        <v>1800</v>
      </c>
      <c r="O50" s="10">
        <f t="shared" si="1"/>
        <v>-120</v>
      </c>
    </row>
    <row r="51" spans="3:15" ht="28.5">
      <c r="C51" s="9" t="s">
        <v>178</v>
      </c>
      <c r="D51" s="7" t="s">
        <v>179</v>
      </c>
      <c r="E51" s="5" t="s">
        <v>2</v>
      </c>
      <c r="F51" s="5" t="str">
        <f>VLOOKUP(E51,Lookup_Tables!$C:$D,2,0)</f>
        <v>Kwa-Zulu-Natal</v>
      </c>
      <c r="G51" s="5" t="s">
        <v>67</v>
      </c>
      <c r="H51" s="6" t="s">
        <v>109</v>
      </c>
      <c r="I51" s="5" t="s">
        <v>180</v>
      </c>
      <c r="J51" s="8">
        <v>80</v>
      </c>
      <c r="K51" s="7" t="s">
        <v>94</v>
      </c>
      <c r="L51" s="8">
        <v>8.5</v>
      </c>
      <c r="M51" s="6">
        <f t="shared" si="0"/>
        <v>680</v>
      </c>
      <c r="N51" s="6">
        <v>750</v>
      </c>
      <c r="O51" s="10">
        <f t="shared" si="1"/>
        <v>-70</v>
      </c>
    </row>
    <row r="52" spans="3:15" ht="28.5">
      <c r="C52" s="9" t="s">
        <v>181</v>
      </c>
      <c r="D52" s="7" t="s">
        <v>182</v>
      </c>
      <c r="E52" s="5" t="s">
        <v>6</v>
      </c>
      <c r="F52" s="5" t="str">
        <f>VLOOKUP(E52,Lookup_Tables!$C:$D,2,0)</f>
        <v>Mpumalanga</v>
      </c>
      <c r="G52" s="5" t="s">
        <v>67</v>
      </c>
      <c r="H52" s="6" t="s">
        <v>92</v>
      </c>
      <c r="I52" s="5" t="s">
        <v>183</v>
      </c>
      <c r="J52" s="8">
        <v>60</v>
      </c>
      <c r="K52" s="7" t="s">
        <v>75</v>
      </c>
      <c r="L52" s="8">
        <v>24</v>
      </c>
      <c r="M52" s="6">
        <f t="shared" si="0"/>
        <v>1440</v>
      </c>
      <c r="N52" s="6">
        <v>1600</v>
      </c>
      <c r="O52" s="10">
        <f t="shared" si="1"/>
        <v>-160</v>
      </c>
    </row>
    <row r="53" spans="3:15" ht="43.5" thickBot="1">
      <c r="C53" s="11" t="s">
        <v>184</v>
      </c>
      <c r="D53" s="12" t="s">
        <v>185</v>
      </c>
      <c r="E53" s="13" t="s">
        <v>4</v>
      </c>
      <c r="F53" s="13" t="str">
        <f>VLOOKUP(E53,Lookup_Tables!$C:$D,2,0)</f>
        <v>Gauteng</v>
      </c>
      <c r="G53" s="13" t="s">
        <v>67</v>
      </c>
      <c r="H53" s="14" t="s">
        <v>62</v>
      </c>
      <c r="I53" s="13" t="s">
        <v>186</v>
      </c>
      <c r="J53" s="15">
        <v>1</v>
      </c>
      <c r="K53" s="12" t="s">
        <v>94</v>
      </c>
      <c r="L53" s="15">
        <v>2200</v>
      </c>
      <c r="M53" s="14">
        <f t="shared" si="0"/>
        <v>2200</v>
      </c>
      <c r="N53" s="14">
        <v>2000</v>
      </c>
      <c r="O53" s="16">
        <f t="shared" si="1"/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8B0BE-A1ED-49FE-B9DD-D371660AB292}">
  <dimension ref="C2:N30"/>
  <sheetViews>
    <sheetView showGridLines="0" workbookViewId="0">
      <selection activeCell="G1" sqref="G1:G1048576"/>
    </sheetView>
  </sheetViews>
  <sheetFormatPr defaultRowHeight="14.25"/>
  <cols>
    <col min="4" max="4" width="8.875" bestFit="1" customWidth="1"/>
    <col min="5" max="5" width="9.125" customWidth="1"/>
    <col min="11" max="11" width="9.125" customWidth="1"/>
    <col min="13" max="13" width="8.875" customWidth="1"/>
    <col min="14" max="14" width="9.125" customWidth="1"/>
  </cols>
  <sheetData>
    <row r="2" spans="3:14" ht="15" thickBot="1"/>
    <row r="3" spans="3:14" ht="43.5" thickBot="1">
      <c r="C3" s="33" t="s">
        <v>187</v>
      </c>
      <c r="D3" s="24" t="s">
        <v>0</v>
      </c>
      <c r="E3" s="24" t="s">
        <v>10</v>
      </c>
      <c r="F3" s="24" t="s">
        <v>31</v>
      </c>
      <c r="G3" s="24" t="s">
        <v>20</v>
      </c>
      <c r="H3" s="24" t="s">
        <v>188</v>
      </c>
      <c r="I3" s="24" t="s">
        <v>189</v>
      </c>
      <c r="J3" s="24" t="s">
        <v>190</v>
      </c>
      <c r="K3" s="24" t="s">
        <v>191</v>
      </c>
      <c r="L3" s="24" t="s">
        <v>192</v>
      </c>
      <c r="M3" s="24" t="s">
        <v>223</v>
      </c>
      <c r="N3" s="26" t="s">
        <v>193</v>
      </c>
    </row>
    <row r="4" spans="3:14" ht="28.5">
      <c r="C4" s="17" t="s">
        <v>194</v>
      </c>
      <c r="D4" s="19" t="s">
        <v>1</v>
      </c>
      <c r="E4" s="18" t="str">
        <f>VLOOKUP(D4,Lookup_Tables!$C:$D,2,0)</f>
        <v>Limpopo</v>
      </c>
      <c r="F4" s="19" t="s">
        <v>32</v>
      </c>
      <c r="G4" s="18" t="s">
        <v>21</v>
      </c>
      <c r="H4" s="18">
        <v>1.2</v>
      </c>
      <c r="I4" s="18">
        <v>4800</v>
      </c>
      <c r="J4" s="18">
        <v>6.5</v>
      </c>
      <c r="K4" s="18">
        <f>(I4*J4)</f>
        <v>31200</v>
      </c>
      <c r="L4" s="32">
        <v>8750</v>
      </c>
      <c r="M4" s="32">
        <f>(K4-L4)</f>
        <v>22450</v>
      </c>
      <c r="N4" s="22">
        <f>IFERROR(M4/K4,0)</f>
        <v>0.71955128205128205</v>
      </c>
    </row>
    <row r="5" spans="3:14" ht="28.5">
      <c r="C5" s="9" t="s">
        <v>195</v>
      </c>
      <c r="D5" s="5" t="s">
        <v>1</v>
      </c>
      <c r="E5" s="7" t="str">
        <f>VLOOKUP(D5,Lookup_Tables!$C:$D,2,0)</f>
        <v>Limpopo</v>
      </c>
      <c r="F5" s="5" t="s">
        <v>32</v>
      </c>
      <c r="G5" s="7" t="s">
        <v>221</v>
      </c>
      <c r="H5" s="7">
        <v>0.8</v>
      </c>
      <c r="I5" s="7">
        <v>2400</v>
      </c>
      <c r="J5" s="7">
        <v>4.2</v>
      </c>
      <c r="K5" s="7">
        <f t="shared" ref="K5:K30" si="0">(I5*J5)</f>
        <v>10080</v>
      </c>
      <c r="L5" s="7">
        <v>3200</v>
      </c>
      <c r="M5" s="28">
        <f t="shared" ref="M5:M30" si="1">(K5-L5)</f>
        <v>6880</v>
      </c>
      <c r="N5" s="10">
        <f t="shared" ref="N5:N30" si="2">IFERROR(M5/K5,0)</f>
        <v>0.68253968253968256</v>
      </c>
    </row>
    <row r="6" spans="3:14" ht="28.5">
      <c r="C6" s="9" t="s">
        <v>196</v>
      </c>
      <c r="D6" s="5" t="s">
        <v>1</v>
      </c>
      <c r="E6" s="7" t="str">
        <f>VLOOKUP(D6,Lookup_Tables!$C:$D,2,0)</f>
        <v>Limpopo</v>
      </c>
      <c r="F6" s="5" t="s">
        <v>32</v>
      </c>
      <c r="G6" s="5" t="s">
        <v>229</v>
      </c>
      <c r="H6" s="7">
        <v>1</v>
      </c>
      <c r="I6" s="7">
        <v>3600</v>
      </c>
      <c r="J6" s="7">
        <v>5.8</v>
      </c>
      <c r="K6" s="7">
        <f t="shared" si="0"/>
        <v>20880</v>
      </c>
      <c r="L6" s="7">
        <v>5400</v>
      </c>
      <c r="M6" s="28">
        <f t="shared" si="1"/>
        <v>15480</v>
      </c>
      <c r="N6" s="10">
        <f t="shared" si="2"/>
        <v>0.74137931034482762</v>
      </c>
    </row>
    <row r="7" spans="3:14" ht="28.5">
      <c r="C7" s="9" t="s">
        <v>197</v>
      </c>
      <c r="D7" s="5" t="s">
        <v>2</v>
      </c>
      <c r="E7" s="5" t="str">
        <f>VLOOKUP(D7,Lookup_Tables!$C:$D,2,0)</f>
        <v>Kwa-Zulu-Natal</v>
      </c>
      <c r="F7" s="5" t="s">
        <v>32</v>
      </c>
      <c r="G7" s="7" t="s">
        <v>23</v>
      </c>
      <c r="H7" s="7">
        <v>1.5</v>
      </c>
      <c r="I7" s="7">
        <v>6000</v>
      </c>
      <c r="J7" s="7">
        <v>3.8</v>
      </c>
      <c r="K7" s="7">
        <f t="shared" si="0"/>
        <v>22800</v>
      </c>
      <c r="L7" s="7">
        <v>7200</v>
      </c>
      <c r="M7" s="28">
        <f t="shared" si="1"/>
        <v>15600</v>
      </c>
      <c r="N7" s="10">
        <f t="shared" si="2"/>
        <v>0.68421052631578949</v>
      </c>
    </row>
    <row r="8" spans="3:14" ht="28.5">
      <c r="C8" s="9" t="s">
        <v>198</v>
      </c>
      <c r="D8" s="5" t="s">
        <v>2</v>
      </c>
      <c r="E8" s="5" t="str">
        <f>VLOOKUP(D8,Lookup_Tables!$C:$D,2,0)</f>
        <v>Kwa-Zulu-Natal</v>
      </c>
      <c r="F8" s="5" t="s">
        <v>32</v>
      </c>
      <c r="G8" s="7" t="s">
        <v>221</v>
      </c>
      <c r="H8" s="7">
        <v>0.6</v>
      </c>
      <c r="I8" s="7">
        <v>1800</v>
      </c>
      <c r="J8" s="7">
        <v>4.2</v>
      </c>
      <c r="K8" s="7">
        <f t="shared" si="0"/>
        <v>7560</v>
      </c>
      <c r="L8" s="7">
        <v>2800</v>
      </c>
      <c r="M8" s="28">
        <f t="shared" si="1"/>
        <v>4760</v>
      </c>
      <c r="N8" s="10">
        <f t="shared" si="2"/>
        <v>0.62962962962962965</v>
      </c>
    </row>
    <row r="9" spans="3:14" ht="28.5">
      <c r="C9" s="9" t="s">
        <v>199</v>
      </c>
      <c r="D9" s="5" t="s">
        <v>2</v>
      </c>
      <c r="E9" s="5" t="str">
        <f>VLOOKUP(D9,Lookup_Tables!$C:$D,2,0)</f>
        <v>Kwa-Zulu-Natal</v>
      </c>
      <c r="F9" s="5" t="s">
        <v>32</v>
      </c>
      <c r="G9" s="5" t="s">
        <v>222</v>
      </c>
      <c r="H9" s="7">
        <v>0.9</v>
      </c>
      <c r="I9" s="7">
        <v>2700</v>
      </c>
      <c r="J9" s="7">
        <v>9.1999999999999993</v>
      </c>
      <c r="K9" s="7">
        <f t="shared" si="0"/>
        <v>24839.999999999996</v>
      </c>
      <c r="L9" s="7">
        <v>6500</v>
      </c>
      <c r="M9" s="28">
        <f t="shared" si="1"/>
        <v>18339.999999999996</v>
      </c>
      <c r="N9" s="10">
        <f t="shared" si="2"/>
        <v>0.73832528180354262</v>
      </c>
    </row>
    <row r="10" spans="3:14" ht="42.75">
      <c r="C10" s="9" t="s">
        <v>200</v>
      </c>
      <c r="D10" s="5" t="s">
        <v>3</v>
      </c>
      <c r="E10" s="5" t="str">
        <f>VLOOKUP(D10,Lookup_Tables!$C:$D,2,0)</f>
        <v>Western Cape</v>
      </c>
      <c r="F10" s="5" t="s">
        <v>32</v>
      </c>
      <c r="G10" s="7" t="s">
        <v>28</v>
      </c>
      <c r="H10" s="7">
        <v>1</v>
      </c>
      <c r="I10" s="7">
        <v>2200</v>
      </c>
      <c r="J10" s="7">
        <v>12.5</v>
      </c>
      <c r="K10" s="7">
        <f t="shared" si="0"/>
        <v>27500</v>
      </c>
      <c r="L10" s="7">
        <v>9800</v>
      </c>
      <c r="M10" s="28">
        <f t="shared" si="1"/>
        <v>17700</v>
      </c>
      <c r="N10" s="10">
        <f t="shared" si="2"/>
        <v>0.64363636363636367</v>
      </c>
    </row>
    <row r="11" spans="3:14" ht="42.75">
      <c r="C11" s="9" t="s">
        <v>201</v>
      </c>
      <c r="D11" s="5" t="s">
        <v>3</v>
      </c>
      <c r="E11" s="5" t="str">
        <f>VLOOKUP(D11,Lookup_Tables!$C:$D,2,0)</f>
        <v>Western Cape</v>
      </c>
      <c r="F11" s="5" t="s">
        <v>32</v>
      </c>
      <c r="G11" s="7" t="s">
        <v>24</v>
      </c>
      <c r="H11" s="7">
        <v>1.3</v>
      </c>
      <c r="I11" s="7">
        <v>5200</v>
      </c>
      <c r="J11" s="7">
        <v>4.5999999999999996</v>
      </c>
      <c r="K11" s="7">
        <f t="shared" si="0"/>
        <v>23919.999999999996</v>
      </c>
      <c r="L11" s="7">
        <v>7100</v>
      </c>
      <c r="M11" s="28">
        <f t="shared" si="1"/>
        <v>16819.999999999996</v>
      </c>
      <c r="N11" s="10">
        <f t="shared" si="2"/>
        <v>0.70317725752508353</v>
      </c>
    </row>
    <row r="12" spans="3:14" ht="42.75">
      <c r="C12" s="9" t="s">
        <v>202</v>
      </c>
      <c r="D12" s="5" t="s">
        <v>3</v>
      </c>
      <c r="E12" s="5" t="str">
        <f>VLOOKUP(D12,Lookup_Tables!$C:$D,2,0)</f>
        <v>Western Cape</v>
      </c>
      <c r="F12" s="5" t="s">
        <v>32</v>
      </c>
      <c r="G12" s="6" t="s">
        <v>27</v>
      </c>
      <c r="H12" s="7">
        <v>1.1000000000000001</v>
      </c>
      <c r="I12" s="7">
        <v>4400</v>
      </c>
      <c r="J12" s="7">
        <v>3.9</v>
      </c>
      <c r="K12" s="7">
        <f t="shared" si="0"/>
        <v>17160</v>
      </c>
      <c r="L12" s="7">
        <v>5600</v>
      </c>
      <c r="M12" s="28">
        <f t="shared" si="1"/>
        <v>11560</v>
      </c>
      <c r="N12" s="10">
        <f t="shared" si="2"/>
        <v>0.67365967365967361</v>
      </c>
    </row>
    <row r="13" spans="3:14" ht="28.5">
      <c r="C13" s="9" t="s">
        <v>203</v>
      </c>
      <c r="D13" s="5" t="s">
        <v>4</v>
      </c>
      <c r="E13" s="29" t="str">
        <f>VLOOKUP(D13,Lookup_Tables!$C:$D,2,0)</f>
        <v>Gauteng</v>
      </c>
      <c r="F13" s="5" t="s">
        <v>32</v>
      </c>
      <c r="G13" s="7" t="s">
        <v>21</v>
      </c>
      <c r="H13" s="7">
        <v>0.8</v>
      </c>
      <c r="I13" s="7">
        <v>3200</v>
      </c>
      <c r="J13" s="7">
        <v>6.5</v>
      </c>
      <c r="K13" s="7">
        <f t="shared" si="0"/>
        <v>20800</v>
      </c>
      <c r="L13" s="7">
        <v>6200</v>
      </c>
      <c r="M13" s="28">
        <f t="shared" si="1"/>
        <v>14600</v>
      </c>
      <c r="N13" s="10">
        <f t="shared" si="2"/>
        <v>0.70192307692307687</v>
      </c>
    </row>
    <row r="14" spans="3:14" ht="28.5">
      <c r="C14" s="9" t="s">
        <v>204</v>
      </c>
      <c r="D14" s="5" t="s">
        <v>4</v>
      </c>
      <c r="E14" s="7" t="str">
        <f>VLOOKUP(D14,Lookup_Tables!$C:$D,2,0)</f>
        <v>Gauteng</v>
      </c>
      <c r="F14" s="5" t="s">
        <v>32</v>
      </c>
      <c r="G14" s="5" t="s">
        <v>230</v>
      </c>
      <c r="H14" s="7">
        <v>0.7</v>
      </c>
      <c r="I14" s="7">
        <v>2100</v>
      </c>
      <c r="J14" s="7">
        <v>9.1999999999999993</v>
      </c>
      <c r="K14" s="7">
        <f t="shared" si="0"/>
        <v>19320</v>
      </c>
      <c r="L14" s="7">
        <v>5800</v>
      </c>
      <c r="M14" s="28">
        <f t="shared" si="1"/>
        <v>13520</v>
      </c>
      <c r="N14" s="10">
        <f t="shared" si="2"/>
        <v>0.69979296066252583</v>
      </c>
    </row>
    <row r="15" spans="3:14" ht="28.5">
      <c r="C15" s="9" t="s">
        <v>205</v>
      </c>
      <c r="D15" s="5" t="s">
        <v>4</v>
      </c>
      <c r="E15" s="7" t="str">
        <f>VLOOKUP(D15,Lookup_Tables!$C:$D,2,0)</f>
        <v>Gauteng</v>
      </c>
      <c r="F15" s="5" t="s">
        <v>32</v>
      </c>
      <c r="G15" s="5" t="s">
        <v>26</v>
      </c>
      <c r="H15" s="7">
        <v>1</v>
      </c>
      <c r="I15" s="7">
        <v>4000</v>
      </c>
      <c r="J15" s="7">
        <v>5.2</v>
      </c>
      <c r="K15" s="7">
        <f t="shared" si="0"/>
        <v>20800</v>
      </c>
      <c r="L15" s="7">
        <v>5200</v>
      </c>
      <c r="M15" s="28">
        <f t="shared" si="1"/>
        <v>15600</v>
      </c>
      <c r="N15" s="10">
        <f t="shared" si="2"/>
        <v>0.75</v>
      </c>
    </row>
    <row r="16" spans="3:14" ht="28.5">
      <c r="C16" s="9" t="s">
        <v>206</v>
      </c>
      <c r="D16" s="5" t="s">
        <v>5</v>
      </c>
      <c r="E16" s="5" t="str">
        <f>VLOOKUP(D16,Lookup_Tables!$C:$D,2,0)</f>
        <v>North West</v>
      </c>
      <c r="F16" s="5" t="s">
        <v>32</v>
      </c>
      <c r="G16" s="5" t="s">
        <v>229</v>
      </c>
      <c r="H16" s="7">
        <v>1.2</v>
      </c>
      <c r="I16" s="7">
        <v>4320</v>
      </c>
      <c r="J16" s="7">
        <v>5.8</v>
      </c>
      <c r="K16" s="7">
        <f t="shared" si="0"/>
        <v>25056</v>
      </c>
      <c r="L16" s="7">
        <v>6800</v>
      </c>
      <c r="M16" s="28">
        <f t="shared" si="1"/>
        <v>18256</v>
      </c>
      <c r="N16" s="10">
        <f t="shared" si="2"/>
        <v>0.72860791826309068</v>
      </c>
    </row>
    <row r="17" spans="3:14" ht="28.5">
      <c r="C17" s="9" t="s">
        <v>207</v>
      </c>
      <c r="D17" s="5" t="s">
        <v>5</v>
      </c>
      <c r="E17" s="5" t="str">
        <f>VLOOKUP(D17,Lookup_Tables!$C:$D,2,0)</f>
        <v>North West</v>
      </c>
      <c r="F17" s="5" t="s">
        <v>32</v>
      </c>
      <c r="G17" s="7" t="s">
        <v>23</v>
      </c>
      <c r="H17" s="7">
        <v>0.8</v>
      </c>
      <c r="I17" s="7">
        <v>3200</v>
      </c>
      <c r="J17" s="7">
        <v>3.8</v>
      </c>
      <c r="K17" s="7">
        <f t="shared" si="0"/>
        <v>12160</v>
      </c>
      <c r="L17" s="7">
        <v>4200</v>
      </c>
      <c r="M17" s="28">
        <f t="shared" si="1"/>
        <v>7960</v>
      </c>
      <c r="N17" s="10">
        <f t="shared" si="2"/>
        <v>0.65460526315789469</v>
      </c>
    </row>
    <row r="18" spans="3:14" ht="28.5">
      <c r="C18" s="9" t="s">
        <v>208</v>
      </c>
      <c r="D18" s="5" t="s">
        <v>5</v>
      </c>
      <c r="E18" s="5" t="str">
        <f>VLOOKUP(D18,Lookup_Tables!$C:$D,2,0)</f>
        <v>North West</v>
      </c>
      <c r="F18" s="29" t="s">
        <v>32</v>
      </c>
      <c r="G18" s="5" t="s">
        <v>29</v>
      </c>
      <c r="H18" s="7">
        <v>1.5</v>
      </c>
      <c r="I18" s="7">
        <v>9000</v>
      </c>
      <c r="J18" s="7">
        <v>2.8</v>
      </c>
      <c r="K18" s="7">
        <f t="shared" si="0"/>
        <v>25200</v>
      </c>
      <c r="L18" s="7">
        <v>7500</v>
      </c>
      <c r="M18" s="28">
        <f t="shared" si="1"/>
        <v>17700</v>
      </c>
      <c r="N18" s="10">
        <f t="shared" si="2"/>
        <v>0.70238095238095233</v>
      </c>
    </row>
    <row r="19" spans="3:14" ht="28.5">
      <c r="C19" s="9" t="s">
        <v>209</v>
      </c>
      <c r="D19" s="5" t="s">
        <v>6</v>
      </c>
      <c r="E19" s="5" t="str">
        <f>VLOOKUP(D19,Lookup_Tables!$C:$D,2,0)</f>
        <v>Mpumalanga</v>
      </c>
      <c r="F19" s="5" t="s">
        <v>32</v>
      </c>
      <c r="G19" s="6" t="s">
        <v>21</v>
      </c>
      <c r="H19" s="7">
        <v>1.4</v>
      </c>
      <c r="I19" s="7">
        <v>5600</v>
      </c>
      <c r="J19" s="7">
        <v>6.5</v>
      </c>
      <c r="K19" s="7">
        <f t="shared" si="0"/>
        <v>36400</v>
      </c>
      <c r="L19" s="7">
        <v>9200</v>
      </c>
      <c r="M19" s="28">
        <f t="shared" si="1"/>
        <v>27200</v>
      </c>
      <c r="N19" s="10">
        <f t="shared" si="2"/>
        <v>0.74725274725274726</v>
      </c>
    </row>
    <row r="20" spans="3:14" ht="28.5">
      <c r="C20" s="9" t="s">
        <v>210</v>
      </c>
      <c r="D20" s="5" t="s">
        <v>6</v>
      </c>
      <c r="E20" s="5" t="str">
        <f>VLOOKUP(D20,Lookup_Tables!$C:$D,2,0)</f>
        <v>Mpumalanga</v>
      </c>
      <c r="F20" s="5" t="s">
        <v>32</v>
      </c>
      <c r="G20" s="6" t="s">
        <v>26</v>
      </c>
      <c r="H20" s="7">
        <v>1</v>
      </c>
      <c r="I20" s="7">
        <v>4000</v>
      </c>
      <c r="J20" s="7">
        <v>5.2</v>
      </c>
      <c r="K20" s="7">
        <f t="shared" si="0"/>
        <v>20800</v>
      </c>
      <c r="L20" s="7">
        <v>5600</v>
      </c>
      <c r="M20" s="28">
        <f t="shared" si="1"/>
        <v>15200</v>
      </c>
      <c r="N20" s="10">
        <f t="shared" si="2"/>
        <v>0.73076923076923073</v>
      </c>
    </row>
    <row r="21" spans="3:14" ht="28.5">
      <c r="C21" s="9" t="s">
        <v>211</v>
      </c>
      <c r="D21" s="5" t="s">
        <v>6</v>
      </c>
      <c r="E21" s="5" t="str">
        <f>VLOOKUP(D21,Lookup_Tables!$C:$D,2,0)</f>
        <v>Mpumalanga</v>
      </c>
      <c r="F21" s="5" t="s">
        <v>32</v>
      </c>
      <c r="G21" s="6" t="s">
        <v>27</v>
      </c>
      <c r="H21" s="7">
        <v>0.9</v>
      </c>
      <c r="I21" s="7">
        <v>3600</v>
      </c>
      <c r="J21" s="7">
        <v>3.9</v>
      </c>
      <c r="K21" s="7">
        <f t="shared" si="0"/>
        <v>14040</v>
      </c>
      <c r="L21" s="7">
        <v>4800</v>
      </c>
      <c r="M21" s="28">
        <f t="shared" si="1"/>
        <v>9240</v>
      </c>
      <c r="N21" s="10">
        <f t="shared" si="2"/>
        <v>0.65811965811965811</v>
      </c>
    </row>
    <row r="22" spans="3:14" ht="28.5">
      <c r="C22" s="9" t="s">
        <v>212</v>
      </c>
      <c r="D22" s="5" t="s">
        <v>7</v>
      </c>
      <c r="E22" s="5" t="str">
        <f>VLOOKUP(D22,Lookup_Tables!$C:$D,2,0)</f>
        <v>Northern Cape</v>
      </c>
      <c r="F22" s="5" t="s">
        <v>32</v>
      </c>
      <c r="G22" s="5" t="s">
        <v>29</v>
      </c>
      <c r="H22" s="7">
        <v>2</v>
      </c>
      <c r="I22" s="7">
        <v>12000</v>
      </c>
      <c r="J22" s="7">
        <v>2.8</v>
      </c>
      <c r="K22" s="7">
        <f t="shared" si="0"/>
        <v>33600</v>
      </c>
      <c r="L22" s="7">
        <v>10200</v>
      </c>
      <c r="M22" s="28">
        <f t="shared" si="1"/>
        <v>23400</v>
      </c>
      <c r="N22" s="10">
        <f t="shared" si="2"/>
        <v>0.6964285714285714</v>
      </c>
    </row>
    <row r="23" spans="3:14" ht="28.5">
      <c r="C23" s="9" t="s">
        <v>213</v>
      </c>
      <c r="D23" s="5" t="s">
        <v>7</v>
      </c>
      <c r="E23" s="5" t="str">
        <f>VLOOKUP(D23,Lookup_Tables!$C:$D,2,0)</f>
        <v>Northern Cape</v>
      </c>
      <c r="F23" s="5" t="s">
        <v>32</v>
      </c>
      <c r="G23" s="5" t="s">
        <v>24</v>
      </c>
      <c r="H23" s="7">
        <v>1.2</v>
      </c>
      <c r="I23" s="7">
        <v>4800</v>
      </c>
      <c r="J23" s="7">
        <v>4.5999999999999996</v>
      </c>
      <c r="K23" s="7">
        <f t="shared" si="0"/>
        <v>22080</v>
      </c>
      <c r="L23" s="7">
        <v>6800</v>
      </c>
      <c r="M23" s="28">
        <f t="shared" si="1"/>
        <v>15280</v>
      </c>
      <c r="N23" s="10">
        <f t="shared" si="2"/>
        <v>0.69202898550724634</v>
      </c>
    </row>
    <row r="24" spans="3:14" ht="28.5">
      <c r="C24" s="9" t="s">
        <v>214</v>
      </c>
      <c r="D24" s="5" t="s">
        <v>7</v>
      </c>
      <c r="E24" s="5" t="str">
        <f>VLOOKUP(D24,Lookup_Tables!$C:$D,2,0)</f>
        <v>Northern Cape</v>
      </c>
      <c r="F24" s="5" t="s">
        <v>32</v>
      </c>
      <c r="G24" s="6" t="s">
        <v>26</v>
      </c>
      <c r="H24" s="7">
        <v>1</v>
      </c>
      <c r="I24" s="7">
        <v>3800</v>
      </c>
      <c r="J24" s="7">
        <v>5.2</v>
      </c>
      <c r="K24" s="7">
        <f t="shared" si="0"/>
        <v>19760</v>
      </c>
      <c r="L24" s="7">
        <v>5400</v>
      </c>
      <c r="M24" s="28">
        <f t="shared" si="1"/>
        <v>14360</v>
      </c>
      <c r="N24" s="10">
        <f t="shared" si="2"/>
        <v>0.72672064777327938</v>
      </c>
    </row>
    <row r="25" spans="3:14" ht="28.5">
      <c r="C25" s="9" t="s">
        <v>215</v>
      </c>
      <c r="D25" s="5" t="s">
        <v>8</v>
      </c>
      <c r="E25" s="5" t="str">
        <f>VLOOKUP(D25,Lookup_Tables!$C:$D,2,0)</f>
        <v>Eastern Cape</v>
      </c>
      <c r="F25" s="5" t="s">
        <v>32</v>
      </c>
      <c r="G25" s="6" t="s">
        <v>28</v>
      </c>
      <c r="H25" s="7">
        <v>0.9</v>
      </c>
      <c r="I25" s="7">
        <v>1980</v>
      </c>
      <c r="J25" s="7">
        <v>12.5</v>
      </c>
      <c r="K25" s="7">
        <f t="shared" si="0"/>
        <v>24750</v>
      </c>
      <c r="L25" s="7">
        <v>8600</v>
      </c>
      <c r="M25" s="28">
        <f t="shared" si="1"/>
        <v>16150</v>
      </c>
      <c r="N25" s="10">
        <f t="shared" si="2"/>
        <v>0.65252525252525251</v>
      </c>
    </row>
    <row r="26" spans="3:14" ht="28.5">
      <c r="C26" s="9" t="s">
        <v>216</v>
      </c>
      <c r="D26" s="5" t="s">
        <v>8</v>
      </c>
      <c r="E26" s="5" t="str">
        <f>VLOOKUP(D26,Lookup_Tables!$C:$D,2,0)</f>
        <v>Eastern Cape</v>
      </c>
      <c r="F26" s="5" t="s">
        <v>32</v>
      </c>
      <c r="G26" s="6" t="s">
        <v>23</v>
      </c>
      <c r="H26" s="7">
        <v>1.2</v>
      </c>
      <c r="I26" s="7">
        <v>4800</v>
      </c>
      <c r="J26" s="7">
        <v>3.8</v>
      </c>
      <c r="K26" s="7">
        <f t="shared" si="0"/>
        <v>18240</v>
      </c>
      <c r="L26" s="7">
        <v>5800</v>
      </c>
      <c r="M26" s="28">
        <f t="shared" si="1"/>
        <v>12440</v>
      </c>
      <c r="N26" s="10">
        <f t="shared" si="2"/>
        <v>0.68201754385964908</v>
      </c>
    </row>
    <row r="27" spans="3:14" ht="28.5">
      <c r="C27" s="9" t="s">
        <v>217</v>
      </c>
      <c r="D27" s="5" t="s">
        <v>8</v>
      </c>
      <c r="E27" s="5" t="str">
        <f>VLOOKUP(D27,Lookup_Tables!$C:$D,2,0)</f>
        <v>Eastern Cape</v>
      </c>
      <c r="F27" s="5" t="s">
        <v>32</v>
      </c>
      <c r="G27" s="6" t="s">
        <v>22</v>
      </c>
      <c r="H27" s="7">
        <v>0.7</v>
      </c>
      <c r="I27" s="7">
        <v>2100</v>
      </c>
      <c r="J27" s="7">
        <v>4.2</v>
      </c>
      <c r="K27" s="7">
        <f t="shared" si="0"/>
        <v>8820</v>
      </c>
      <c r="L27" s="7">
        <v>3000</v>
      </c>
      <c r="M27" s="28">
        <f t="shared" si="1"/>
        <v>5820</v>
      </c>
      <c r="N27" s="10">
        <f t="shared" si="2"/>
        <v>0.65986394557823125</v>
      </c>
    </row>
    <row r="28" spans="3:14" ht="42.75">
      <c r="C28" s="9" t="s">
        <v>218</v>
      </c>
      <c r="D28" s="5" t="s">
        <v>9</v>
      </c>
      <c r="E28" s="5" t="str">
        <f>VLOOKUP(D28,Lookup_Tables!$C:$D,2,0)</f>
        <v>Free State</v>
      </c>
      <c r="F28" s="5" t="s">
        <v>32</v>
      </c>
      <c r="G28" s="6" t="s">
        <v>26</v>
      </c>
      <c r="H28" s="7">
        <v>1.5</v>
      </c>
      <c r="I28" s="7">
        <v>6000</v>
      </c>
      <c r="J28" s="7">
        <v>5.2</v>
      </c>
      <c r="K28" s="7">
        <f t="shared" si="0"/>
        <v>31200</v>
      </c>
      <c r="L28" s="7">
        <v>8400</v>
      </c>
      <c r="M28" s="28">
        <f t="shared" si="1"/>
        <v>22800</v>
      </c>
      <c r="N28" s="10">
        <f t="shared" si="2"/>
        <v>0.73076923076923073</v>
      </c>
    </row>
    <row r="29" spans="3:14" ht="42.75">
      <c r="C29" s="9" t="s">
        <v>219</v>
      </c>
      <c r="D29" s="5" t="s">
        <v>9</v>
      </c>
      <c r="E29" s="5" t="str">
        <f>VLOOKUP(D29,Lookup_Tables!$C:$D,2,0)</f>
        <v>Free State</v>
      </c>
      <c r="F29" s="5" t="s">
        <v>32</v>
      </c>
      <c r="G29" s="6" t="s">
        <v>27</v>
      </c>
      <c r="H29" s="7">
        <v>1.2</v>
      </c>
      <c r="I29" s="7">
        <v>4800</v>
      </c>
      <c r="J29" s="7">
        <v>3.9</v>
      </c>
      <c r="K29" s="7">
        <f t="shared" si="0"/>
        <v>18720</v>
      </c>
      <c r="L29" s="7">
        <v>6200</v>
      </c>
      <c r="M29" s="28">
        <f t="shared" si="1"/>
        <v>12520</v>
      </c>
      <c r="N29" s="10">
        <f t="shared" si="2"/>
        <v>0.66880341880341876</v>
      </c>
    </row>
    <row r="30" spans="3:14" ht="43.5" thickBot="1">
      <c r="C30" s="11" t="s">
        <v>220</v>
      </c>
      <c r="D30" s="13" t="s">
        <v>9</v>
      </c>
      <c r="E30" s="12" t="str">
        <f>VLOOKUP(D30,Lookup_Tables!$C:$D,2,0)</f>
        <v>Free State</v>
      </c>
      <c r="F30" s="30" t="s">
        <v>32</v>
      </c>
      <c r="G30" s="14" t="s">
        <v>24</v>
      </c>
      <c r="H30" s="12">
        <v>1</v>
      </c>
      <c r="I30" s="12">
        <v>4000</v>
      </c>
      <c r="J30" s="12">
        <v>4.5999999999999996</v>
      </c>
      <c r="K30" s="12">
        <f t="shared" si="0"/>
        <v>18400</v>
      </c>
      <c r="L30" s="12">
        <v>5800</v>
      </c>
      <c r="M30" s="31">
        <f t="shared" si="1"/>
        <v>12600</v>
      </c>
      <c r="N30" s="16">
        <f t="shared" si="2"/>
        <v>0.68478260869565222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72CA8-8F0A-4A5E-ADA1-7DC62536617F}">
  <dimension ref="C2:S16"/>
  <sheetViews>
    <sheetView showGridLines="0" workbookViewId="0">
      <selection activeCell="J4" sqref="J4"/>
    </sheetView>
  </sheetViews>
  <sheetFormatPr defaultRowHeight="14.25"/>
  <sheetData>
    <row r="2" spans="3:19" ht="15" thickBot="1"/>
    <row r="3" spans="3:19">
      <c r="C3" s="27"/>
      <c r="D3" s="84" t="s">
        <v>226</v>
      </c>
      <c r="E3" s="84"/>
      <c r="F3" s="84"/>
      <c r="G3" s="84"/>
      <c r="H3" s="34"/>
      <c r="N3" s="27"/>
      <c r="O3" s="84" t="s">
        <v>228</v>
      </c>
      <c r="P3" s="84"/>
      <c r="Q3" s="84"/>
      <c r="R3" s="84"/>
      <c r="S3" s="34"/>
    </row>
    <row r="4" spans="3:19" ht="15" thickBot="1">
      <c r="C4" s="2"/>
      <c r="D4" s="3"/>
      <c r="E4" s="3"/>
      <c r="F4" s="3"/>
      <c r="G4" s="3"/>
      <c r="H4" s="4"/>
      <c r="N4" s="2"/>
      <c r="O4" s="3"/>
      <c r="P4" s="3"/>
      <c r="Q4" s="3"/>
      <c r="R4" s="3"/>
      <c r="S4" s="4"/>
    </row>
    <row r="5" spans="3:19" ht="43.5" thickBot="1">
      <c r="C5" s="23" t="s">
        <v>0</v>
      </c>
      <c r="D5" s="24" t="s">
        <v>191</v>
      </c>
      <c r="E5" s="24" t="s">
        <v>224</v>
      </c>
      <c r="F5" s="24" t="s">
        <v>223</v>
      </c>
      <c r="G5" s="24" t="s">
        <v>193</v>
      </c>
      <c r="H5" s="41" t="s">
        <v>225</v>
      </c>
      <c r="N5" s="33" t="s">
        <v>20</v>
      </c>
      <c r="O5" s="24" t="s">
        <v>191</v>
      </c>
      <c r="P5" s="24" t="s">
        <v>224</v>
      </c>
      <c r="Q5" s="24" t="s">
        <v>223</v>
      </c>
      <c r="R5" s="24" t="s">
        <v>193</v>
      </c>
      <c r="S5" s="26" t="s">
        <v>227</v>
      </c>
    </row>
    <row r="6" spans="3:19" ht="28.5">
      <c r="C6" s="39" t="s">
        <v>1</v>
      </c>
      <c r="D6" s="18">
        <f>SUMIF(Yield_Log!D4:D30,C6,Yield_Log!K4:K30)</f>
        <v>62160</v>
      </c>
      <c r="E6" s="18">
        <f>SUMIF(Yield_Log!D4:D30,C6,Yield_Log!L4:L30)</f>
        <v>17350</v>
      </c>
      <c r="F6" s="18">
        <f>(D6-E6)</f>
        <v>44810</v>
      </c>
      <c r="G6" s="18">
        <f>ROUND(IFERROR(F6/E6,0),2)</f>
        <v>2.58</v>
      </c>
      <c r="H6" s="40" t="str">
        <f>INDEX(Yield_Log!G4:G30,MATCH(_xlfn.MAXIFS(Yield_Log!M4:M30,Yield_Log!D4:D30,C6),Yield_Log!M4:M30,0))</f>
        <v>Tomatoes</v>
      </c>
      <c r="N6" s="39" t="s">
        <v>21</v>
      </c>
      <c r="O6" s="18">
        <f>SUMIF(Yield_Log!G4:G30,N6,Yield_Log!K4:K30)</f>
        <v>88400</v>
      </c>
      <c r="P6" s="18">
        <f>SUMIF(Yield_Log!G4:G30,N6,Yield_Log!L4:L30)</f>
        <v>24150</v>
      </c>
      <c r="Q6" s="18">
        <f>(O6-P6)</f>
        <v>64250</v>
      </c>
      <c r="R6" s="18">
        <f>ROUND(IFERROR(Q6/P6,0),2)</f>
        <v>2.66</v>
      </c>
      <c r="S6" s="22">
        <f>COUNTIF(Yield_Log!G4:G30,N6)</f>
        <v>3</v>
      </c>
    </row>
    <row r="7" spans="3:19" ht="28.5">
      <c r="C7" s="35" t="s">
        <v>2</v>
      </c>
      <c r="D7" s="7">
        <f>SUMIF(Yield_Log!D5:D31,C7,Yield_Log!K5:K31)</f>
        <v>55200</v>
      </c>
      <c r="E7" s="7">
        <f>SUMIF(Yield_Log!D5:D31,C7,Yield_Log!L5:L31)</f>
        <v>16500</v>
      </c>
      <c r="F7" s="7">
        <f t="shared" ref="F7:F14" si="0">(D7-E7)</f>
        <v>38700</v>
      </c>
      <c r="G7" s="7">
        <f t="shared" ref="G7:G13" si="1">ROUND(IFERROR(F7/E7,0),2)</f>
        <v>2.35</v>
      </c>
      <c r="H7" s="37" t="str">
        <f>INDEX(Yield_Log!G5:G31,MATCH(_xlfn.MAXIFS(Yield_Log!M5:M31,Yield_Log!D5:D31,C7),Yield_Log!M5:M31,0))</f>
        <v xml:space="preserve"> Green Pepper</v>
      </c>
      <c r="N7" s="35" t="s">
        <v>22</v>
      </c>
      <c r="O7" s="7">
        <f>SUMIF(Yield_Log!G5:G31,N7,Yield_Log!K5:K31)</f>
        <v>8820</v>
      </c>
      <c r="P7" s="7">
        <f>SUMIF(Yield_Log!G5:G31,N7,Yield_Log!L5:L31)</f>
        <v>3000</v>
      </c>
      <c r="Q7" s="7">
        <f t="shared" ref="Q7:Q15" si="2">(O7-P7)</f>
        <v>5820</v>
      </c>
      <c r="R7" s="7">
        <f t="shared" ref="R7:R15" si="3">ROUND(IFERROR(Q7/P7,0),2)</f>
        <v>1.94</v>
      </c>
      <c r="S7" s="10">
        <f>COUNTIF(Yield_Log!G5:G31,N7)</f>
        <v>1</v>
      </c>
    </row>
    <row r="8" spans="3:19" ht="42.75">
      <c r="C8" s="35" t="s">
        <v>3</v>
      </c>
      <c r="D8" s="7">
        <f>SUMIF(Yield_Log!D6:D32,C8,Yield_Log!K6:K32)</f>
        <v>68580</v>
      </c>
      <c r="E8" s="7">
        <f>SUMIF(Yield_Log!D6:D32,C8,Yield_Log!L6:L32)</f>
        <v>22500</v>
      </c>
      <c r="F8" s="7">
        <f t="shared" si="0"/>
        <v>46080</v>
      </c>
      <c r="G8" s="7">
        <f t="shared" si="1"/>
        <v>2.0499999999999998</v>
      </c>
      <c r="H8" s="37" t="str">
        <f>INDEX(Yield_Log!G6:G32,MATCH(_xlfn.MAXIFS(Yield_Log!M6:M32,Yield_Log!D6:D32,C8),Yield_Log!M6:M32,0))</f>
        <v>Broccoli</v>
      </c>
      <c r="N8" s="35" t="s">
        <v>23</v>
      </c>
      <c r="O8" s="7">
        <f>SUMIF(Yield_Log!G6:G32,N8,Yield_Log!K6:K32)</f>
        <v>53200</v>
      </c>
      <c r="P8" s="7">
        <f>SUMIF(Yield_Log!G6:G32,N8,Yield_Log!L6:L32)</f>
        <v>17200</v>
      </c>
      <c r="Q8" s="7">
        <f t="shared" si="2"/>
        <v>36000</v>
      </c>
      <c r="R8" s="7">
        <f t="shared" si="3"/>
        <v>2.09</v>
      </c>
      <c r="S8" s="10">
        <f>COUNTIF(Yield_Log!G6:G32,N8)</f>
        <v>3</v>
      </c>
    </row>
    <row r="9" spans="3:19" ht="28.5">
      <c r="C9" s="35" t="s">
        <v>4</v>
      </c>
      <c r="D9" s="7">
        <f>SUMIF(Yield_Log!D7:D33,C9,Yield_Log!K7:K33)</f>
        <v>60920</v>
      </c>
      <c r="E9" s="7">
        <f>SUMIF(Yield_Log!D7:D33,C9,Yield_Log!L7:L33)</f>
        <v>17200</v>
      </c>
      <c r="F9" s="7">
        <f t="shared" si="0"/>
        <v>43720</v>
      </c>
      <c r="G9" s="7">
        <f t="shared" si="1"/>
        <v>2.54</v>
      </c>
      <c r="H9" s="37" t="str">
        <f>INDEX(Yield_Log!G7:G33,MATCH(_xlfn.MAXIFS(Yield_Log!M7:M33,Yield_Log!D7:D33,C9),Yield_Log!M7:M33,0))</f>
        <v>Cabbage</v>
      </c>
      <c r="N9" s="35" t="s">
        <v>24</v>
      </c>
      <c r="O9" s="7">
        <f>SUMIF(Yield_Log!G7:G33,N9,Yield_Log!K7:K33)</f>
        <v>64400</v>
      </c>
      <c r="P9" s="7">
        <f>SUMIF(Yield_Log!G7:G33,N9,Yield_Log!L7:L33)</f>
        <v>19700</v>
      </c>
      <c r="Q9" s="7">
        <f t="shared" si="2"/>
        <v>44700</v>
      </c>
      <c r="R9" s="7">
        <f t="shared" si="3"/>
        <v>2.27</v>
      </c>
      <c r="S9" s="10">
        <f>COUNTIF(Yield_Log!G7:G33,N9)</f>
        <v>3</v>
      </c>
    </row>
    <row r="10" spans="3:19" ht="28.5">
      <c r="C10" s="35" t="s">
        <v>5</v>
      </c>
      <c r="D10" s="7">
        <f>SUMIF(Yield_Log!D8:D34,C10,Yield_Log!K8:K34)</f>
        <v>62416</v>
      </c>
      <c r="E10" s="7">
        <f>SUMIF(Yield_Log!D8:D34,C10,Yield_Log!L8:L34)</f>
        <v>18500</v>
      </c>
      <c r="F10" s="7">
        <f t="shared" si="0"/>
        <v>43916</v>
      </c>
      <c r="G10" s="7">
        <f t="shared" si="1"/>
        <v>2.37</v>
      </c>
      <c r="H10" s="37" t="str">
        <f>INDEX(Yield_Log!G8:G34,MATCH(_xlfn.MAXIFS(Yield_Log!M8:M34,Yield_Log!D8:D34,C10),Yield_Log!M8:M34,0))</f>
        <v>Sweet Potato</v>
      </c>
      <c r="N10" s="35" t="s">
        <v>25</v>
      </c>
      <c r="O10" s="7">
        <f>SUMIF(Yield_Log!G8:G34,N10,Yield_Log!K8:K34)</f>
        <v>19320</v>
      </c>
      <c r="P10" s="7">
        <f>SUMIF(Yield_Log!G8:G34,N10,Yield_Log!L8:L34)</f>
        <v>5800</v>
      </c>
      <c r="Q10" s="7">
        <f t="shared" si="2"/>
        <v>13520</v>
      </c>
      <c r="R10" s="7">
        <f t="shared" si="3"/>
        <v>2.33</v>
      </c>
      <c r="S10" s="10">
        <f>COUNTIF(Yield_Log!G8:G34,N10)</f>
        <v>1</v>
      </c>
    </row>
    <row r="11" spans="3:19" ht="28.5">
      <c r="C11" s="35" t="s">
        <v>6</v>
      </c>
      <c r="D11" s="7">
        <f>SUMIF(Yield_Log!D9:D35,C11,Yield_Log!K9:K35)</f>
        <v>71240</v>
      </c>
      <c r="E11" s="7">
        <f>SUMIF(Yield_Log!D9:D35,C11,Yield_Log!L9:L35)</f>
        <v>19600</v>
      </c>
      <c r="F11" s="7">
        <f t="shared" si="0"/>
        <v>51640</v>
      </c>
      <c r="G11" s="7">
        <f>ROUND(IFERROR(F11/E11,0),2)</f>
        <v>2.63</v>
      </c>
      <c r="H11" s="37" t="str">
        <f>INDEX(Yield_Log!G9:G35,MATCH(_xlfn.MAXIFS(Yield_Log!M9:M35,Yield_Log!D9:D35,C11),Yield_Log!M9:M35,0))</f>
        <v>Tomatoes</v>
      </c>
      <c r="N11" s="35" t="s">
        <v>26</v>
      </c>
      <c r="O11" s="7">
        <f>SUMIF(Yield_Log!G9:G35,N11,Yield_Log!K9:K35)</f>
        <v>92560</v>
      </c>
      <c r="P11" s="7">
        <f>SUMIF(Yield_Log!G9:G35,N11,Yield_Log!L9:L35)</f>
        <v>24600</v>
      </c>
      <c r="Q11" s="7">
        <f t="shared" si="2"/>
        <v>67960</v>
      </c>
      <c r="R11" s="7">
        <f t="shared" si="3"/>
        <v>2.76</v>
      </c>
      <c r="S11" s="10">
        <f>COUNTIF(Yield_Log!G9:G35,N11)</f>
        <v>4</v>
      </c>
    </row>
    <row r="12" spans="3:19" ht="28.5">
      <c r="C12" s="35" t="s">
        <v>7</v>
      </c>
      <c r="D12" s="7">
        <f>SUMIF(Yield_Log!D10:D36,C12,Yield_Log!K10:K36)</f>
        <v>75440</v>
      </c>
      <c r="E12" s="7">
        <f>SUMIF(Yield_Log!D10:D36,C12,Yield_Log!L10:L36)</f>
        <v>22400</v>
      </c>
      <c r="F12" s="7">
        <f t="shared" si="0"/>
        <v>53040</v>
      </c>
      <c r="G12" s="7">
        <f t="shared" si="1"/>
        <v>2.37</v>
      </c>
      <c r="H12" s="37" t="str">
        <f>INDEX(Yield_Log!G10:G36,MATCH(_xlfn.MAXIFS(Yield_Log!M10:M36,Yield_Log!D10:D36,C12),Yield_Log!M10:M36,0))</f>
        <v>Watermelon</v>
      </c>
      <c r="N12" s="35" t="s">
        <v>27</v>
      </c>
      <c r="O12" s="7">
        <f>SUMIF(Yield_Log!G10:G36,N12,Yield_Log!K10:K36)</f>
        <v>49920</v>
      </c>
      <c r="P12" s="7">
        <f>SUMIF(Yield_Log!G10:G36,N12,Yield_Log!L10:L36)</f>
        <v>16600</v>
      </c>
      <c r="Q12" s="7">
        <f t="shared" si="2"/>
        <v>33320</v>
      </c>
      <c r="R12" s="7">
        <f t="shared" si="3"/>
        <v>2.0099999999999998</v>
      </c>
      <c r="S12" s="10">
        <f>COUNTIF(Yield_Log!G10:G36,N12)</f>
        <v>3</v>
      </c>
    </row>
    <row r="13" spans="3:19" ht="28.5">
      <c r="C13" s="35" t="s">
        <v>8</v>
      </c>
      <c r="D13" s="7">
        <f>SUMIF(Yield_Log!D11:D37,C13,Yield_Log!K11:K37)</f>
        <v>51810</v>
      </c>
      <c r="E13" s="7">
        <f>SUMIF(Yield_Log!D11:D37,C13,Yield_Log!L11:L37)</f>
        <v>17400</v>
      </c>
      <c r="F13" s="7">
        <f t="shared" si="0"/>
        <v>34410</v>
      </c>
      <c r="G13" s="7">
        <f t="shared" si="1"/>
        <v>1.98</v>
      </c>
      <c r="H13" s="36" t="str">
        <f>INDEX(Yield_Log!G11:G37,MATCH(_xlfn.MAXIFS(Yield_Log!M11:M37,Yield_Log!D11:D37,C13),Yield_Log!M11:M37,0))</f>
        <v>Broccoli</v>
      </c>
      <c r="N13" s="42" t="s">
        <v>28</v>
      </c>
      <c r="O13" s="7">
        <f>SUMIF(Yield_Log!G11:G37,N13,Yield_Log!K11:K37)</f>
        <v>24750</v>
      </c>
      <c r="P13" s="7">
        <f>SUMIF(Yield_Log!G11:G37,N13,Yield_Log!L11:L37)</f>
        <v>8600</v>
      </c>
      <c r="Q13" s="7">
        <f t="shared" si="2"/>
        <v>16150</v>
      </c>
      <c r="R13" s="7">
        <f t="shared" si="3"/>
        <v>1.88</v>
      </c>
      <c r="S13" s="10">
        <f>COUNTIF(Yield_Log!G11:G37,N13)</f>
        <v>1</v>
      </c>
    </row>
    <row r="14" spans="3:19" ht="42.75">
      <c r="C14" s="35" t="s">
        <v>9</v>
      </c>
      <c r="D14" s="7">
        <f>SUMIF(Yield_Log!D12:D38,C14,Yield_Log!K12:K38)</f>
        <v>68320</v>
      </c>
      <c r="E14" s="7">
        <f>SUMIF(Yield_Log!D12:D38,C14,Yield_Log!L12:L38)</f>
        <v>20400</v>
      </c>
      <c r="F14" s="7">
        <f t="shared" si="0"/>
        <v>47920</v>
      </c>
      <c r="G14" s="7">
        <f>ROUND(IFERROR(F14/E14,0),2)</f>
        <v>2.35</v>
      </c>
      <c r="H14" s="36" t="str">
        <f>INDEX(Yield_Log!G12:G38,MATCH(_xlfn.MAXIFS(Yield_Log!M12:M38,Yield_Log!D12:D38,C14),Yield_Log!M12:M38,0))</f>
        <v>Onion</v>
      </c>
      <c r="N14" s="35" t="s">
        <v>29</v>
      </c>
      <c r="O14" s="7">
        <f>SUMIF(Yield_Log!G12:G38,N14,Yield_Log!K12:K38)</f>
        <v>58800</v>
      </c>
      <c r="P14" s="7">
        <f>SUMIF(Yield_Log!G12:G38,N14,Yield_Log!L12:L38)</f>
        <v>17700</v>
      </c>
      <c r="Q14" s="7">
        <f t="shared" si="2"/>
        <v>41100</v>
      </c>
      <c r="R14" s="7">
        <f t="shared" si="3"/>
        <v>2.3199999999999998</v>
      </c>
      <c r="S14" s="10">
        <f>COUNTIF(Yield_Log!G12:G38,N14)</f>
        <v>2</v>
      </c>
    </row>
    <row r="15" spans="3:19" ht="29.25" thickBot="1">
      <c r="C15" s="38" t="s">
        <v>231</v>
      </c>
      <c r="D15" s="12">
        <f>SUM(D6:D14)</f>
        <v>576086</v>
      </c>
      <c r="E15" s="12">
        <f>SUM(E6:E14)</f>
        <v>171850</v>
      </c>
      <c r="F15" s="12">
        <f>SUM(F6:F14)</f>
        <v>404236</v>
      </c>
      <c r="G15" s="12">
        <f>ROUND(IFERROR(F15/D15,0),4)</f>
        <v>0.70169999999999999</v>
      </c>
      <c r="H15" s="16"/>
      <c r="N15" s="35" t="s">
        <v>30</v>
      </c>
      <c r="O15" s="7">
        <f>SUMIF(Yield_Log!G13:G39,N15,Yield_Log!K13:K39)</f>
        <v>25056</v>
      </c>
      <c r="P15" s="7">
        <f>SUMIF(Yield_Log!G13:G39,N15,Yield_Log!L13:L39)</f>
        <v>6800</v>
      </c>
      <c r="Q15" s="7">
        <f t="shared" si="2"/>
        <v>18256</v>
      </c>
      <c r="R15" s="7">
        <f t="shared" si="3"/>
        <v>2.68</v>
      </c>
      <c r="S15" s="10">
        <f>COUNTIF(Yield_Log!G13:G39,N15)</f>
        <v>1</v>
      </c>
    </row>
    <row r="16" spans="3:19" ht="15" thickBot="1">
      <c r="N16" s="38" t="s">
        <v>231</v>
      </c>
      <c r="O16" s="12">
        <f>SUM(O6:O15)</f>
        <v>485226</v>
      </c>
      <c r="P16" s="12">
        <f>SUM(P6:P15)</f>
        <v>144150</v>
      </c>
      <c r="Q16" s="12">
        <f>SUM(Q6:Q15)</f>
        <v>341076</v>
      </c>
      <c r="R16" s="12">
        <f>ROUND(IFERROR(Q15/O15,0),4)</f>
        <v>0.72860000000000003</v>
      </c>
      <c r="S16" s="16"/>
    </row>
  </sheetData>
  <mergeCells count="2">
    <mergeCell ref="D3:G3"/>
    <mergeCell ref="O3:R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01F9B-E61E-42E2-9896-8CEC51F0E5F2}">
  <dimension ref="C3:P15"/>
  <sheetViews>
    <sheetView showGridLines="0" zoomScale="70" zoomScaleNormal="70" workbookViewId="0">
      <selection activeCell="O5" sqref="O5:P15"/>
    </sheetView>
  </sheetViews>
  <sheetFormatPr defaultRowHeight="14.25"/>
  <cols>
    <col min="16" max="16" width="9.125" style="1"/>
  </cols>
  <sheetData>
    <row r="3" spans="3:16">
      <c r="C3" s="85" t="s">
        <v>233</v>
      </c>
      <c r="D3" s="85"/>
      <c r="E3" s="85"/>
      <c r="F3" s="85"/>
      <c r="J3" s="85" t="s">
        <v>235</v>
      </c>
      <c r="K3" s="85"/>
      <c r="O3" s="85" t="s">
        <v>236</v>
      </c>
      <c r="P3" s="85"/>
    </row>
    <row r="4" spans="3:16" ht="15" thickBot="1"/>
    <row r="5" spans="3:16" ht="43.5" thickBot="1">
      <c r="C5" s="43" t="s">
        <v>0</v>
      </c>
      <c r="D5" s="24" t="s">
        <v>191</v>
      </c>
      <c r="E5" s="24" t="s">
        <v>224</v>
      </c>
      <c r="F5" s="26" t="s">
        <v>223</v>
      </c>
      <c r="J5" s="33" t="s">
        <v>20</v>
      </c>
      <c r="K5" s="45" t="s">
        <v>234</v>
      </c>
      <c r="O5" s="33" t="s">
        <v>20</v>
      </c>
      <c r="P5" s="49" t="s">
        <v>237</v>
      </c>
    </row>
    <row r="6" spans="3:16" ht="28.5">
      <c r="C6" s="39" t="s">
        <v>1</v>
      </c>
      <c r="D6" s="18">
        <f ca="1">SUMIF(Yield_Log!D4:D31,C6,Yield_Log!K4:K30)</f>
        <v>62160</v>
      </c>
      <c r="E6" s="18">
        <f>SUMIF(Yield_Log!D4:D30,C6,Yield_Log!L4:L30)</f>
        <v>17350</v>
      </c>
      <c r="F6" s="22">
        <f ca="1">(D6-E6)</f>
        <v>44810</v>
      </c>
      <c r="J6" s="44" t="s">
        <v>21</v>
      </c>
      <c r="K6" s="22">
        <f>SUMIF(Yield_Log!G4:G30,J6,Yield_Log!K4:K30)</f>
        <v>88400</v>
      </c>
      <c r="O6" s="44" t="s">
        <v>21</v>
      </c>
      <c r="P6" s="48">
        <f>ROUND(IFERROR(SUMIF(Yield_Log!G4:G30,O6,Yield_Log!M4:M30)/SUMIF(Yield_Log!G4:G30,O6,Yield_Log!K4:K30),0),2)</f>
        <v>0.73</v>
      </c>
    </row>
    <row r="7" spans="3:16" ht="28.5">
      <c r="C7" s="35" t="s">
        <v>2</v>
      </c>
      <c r="D7" s="7">
        <f ca="1">SUMIF(Yield_Log!D5:D32,C7,Yield_Log!K5:K31)</f>
        <v>55200</v>
      </c>
      <c r="E7" s="7">
        <f>SUMIF(Yield_Log!D5:D31,C7,Yield_Log!L5:L31)</f>
        <v>16500</v>
      </c>
      <c r="F7" s="10">
        <f t="shared" ref="F7:F14" ca="1" si="0">(D7-E7)</f>
        <v>38700</v>
      </c>
      <c r="J7" s="42" t="s">
        <v>22</v>
      </c>
      <c r="K7" s="10">
        <f>SUMIF(Yield_Log!G5:G31,J7,Yield_Log!K5:K31)</f>
        <v>8820</v>
      </c>
      <c r="O7" s="42" t="s">
        <v>22</v>
      </c>
      <c r="P7" s="46">
        <f>ROUND(IFERROR(SUMIF(Yield_Log!G5:G31,O7,Yield_Log!M5:M31)/SUMIF(Yield_Log!G5:G31,O7,Yield_Log!K5:K31),0),2)</f>
        <v>0.66</v>
      </c>
    </row>
    <row r="8" spans="3:16" ht="42.75">
      <c r="C8" s="35" t="s">
        <v>3</v>
      </c>
      <c r="D8" s="7">
        <f ca="1">SUMIF(Yield_Log!D6:D33,C8,Yield_Log!K6:K32)</f>
        <v>68580</v>
      </c>
      <c r="E8" s="7">
        <f>SUMIF(Yield_Log!D6:D32,C8,Yield_Log!L6:L32)</f>
        <v>22500</v>
      </c>
      <c r="F8" s="10">
        <f t="shared" ca="1" si="0"/>
        <v>46080</v>
      </c>
      <c r="J8" s="42" t="s">
        <v>23</v>
      </c>
      <c r="K8" s="10">
        <f>SUMIF(Yield_Log!G6:G32,J8,Yield_Log!K6:K32)</f>
        <v>53200</v>
      </c>
      <c r="O8" s="42" t="s">
        <v>23</v>
      </c>
      <c r="P8" s="46">
        <f>ROUND(IFERROR(SUMIF(Yield_Log!G6:G32,O8,Yield_Log!M6:M32)/SUMIF(Yield_Log!G6:G32,O8,Yield_Log!K6:K32),0),2)</f>
        <v>0.68</v>
      </c>
    </row>
    <row r="9" spans="3:16" ht="28.5">
      <c r="C9" s="35" t="s">
        <v>4</v>
      </c>
      <c r="D9" s="7">
        <f ca="1">SUMIF(Yield_Log!D7:D34,C9,Yield_Log!K7:K33)</f>
        <v>60920</v>
      </c>
      <c r="E9" s="7">
        <f>SUMIF(Yield_Log!D7:D33,C9,Yield_Log!L7:L33)</f>
        <v>17200</v>
      </c>
      <c r="F9" s="10">
        <f t="shared" ca="1" si="0"/>
        <v>43720</v>
      </c>
      <c r="J9" s="35" t="s">
        <v>24</v>
      </c>
      <c r="K9" s="10">
        <f>SUMIF(Yield_Log!G7:G33,J9,Yield_Log!K7:K33)</f>
        <v>64400</v>
      </c>
      <c r="O9" s="35" t="s">
        <v>24</v>
      </c>
      <c r="P9" s="46">
        <f>ROUND(IFERROR(SUMIF(Yield_Log!G7:G33,O9,Yield_Log!M7:M33)/SUMIF(Yield_Log!G7:G33,O9,Yield_Log!K7:K33),0),2)</f>
        <v>0.69</v>
      </c>
    </row>
    <row r="10" spans="3:16" ht="28.5">
      <c r="C10" s="35" t="s">
        <v>5</v>
      </c>
      <c r="D10" s="7">
        <f ca="1">SUMIF(Yield_Log!D8:D35,C10,Yield_Log!K8:K34)</f>
        <v>62416</v>
      </c>
      <c r="E10" s="7">
        <f>SUMIF(Yield_Log!D8:D34,C10,Yield_Log!L8:L34)</f>
        <v>18500</v>
      </c>
      <c r="F10" s="10">
        <f t="shared" ca="1" si="0"/>
        <v>43916</v>
      </c>
      <c r="J10" s="35" t="s">
        <v>25</v>
      </c>
      <c r="K10" s="10">
        <f>SUMIF(Yield_Log!G8:G34,J10,Yield_Log!K8:K34)</f>
        <v>19320</v>
      </c>
      <c r="O10" s="35" t="s">
        <v>25</v>
      </c>
      <c r="P10" s="46">
        <f>ROUND(IFERROR(SUMIF(Yield_Log!G8:G34,O10,Yield_Log!M8:M34)/SUMIF(Yield_Log!G8:G34,O10,Yield_Log!K8:K34),0),2)</f>
        <v>0.7</v>
      </c>
    </row>
    <row r="11" spans="3:16" ht="28.5">
      <c r="C11" s="35" t="s">
        <v>6</v>
      </c>
      <c r="D11" s="7">
        <f ca="1">SUMIF(Yield_Log!D9:D36,C11,Yield_Log!K9:K35)</f>
        <v>71240</v>
      </c>
      <c r="E11" s="7">
        <f>SUMIF(Yield_Log!D9:D35,C11,Yield_Log!L9:L35)</f>
        <v>19600</v>
      </c>
      <c r="F11" s="10">
        <f t="shared" ca="1" si="0"/>
        <v>51640</v>
      </c>
      <c r="J11" s="42" t="s">
        <v>26</v>
      </c>
      <c r="K11" s="10">
        <f>SUMIF(Yield_Log!G9:G35,J11,Yield_Log!K9:K35)</f>
        <v>92560</v>
      </c>
      <c r="O11" s="42" t="s">
        <v>26</v>
      </c>
      <c r="P11" s="46">
        <f>ROUND(IFERROR(SUMIF(Yield_Log!G9:G35,O11,Yield_Log!M9:M35)/SUMIF(Yield_Log!G9:G35,O11,Yield_Log!K9:K35),0),2)</f>
        <v>0.73</v>
      </c>
    </row>
    <row r="12" spans="3:16" ht="28.5">
      <c r="C12" s="35" t="s">
        <v>7</v>
      </c>
      <c r="D12" s="7">
        <f ca="1">SUMIF(Yield_Log!D10:D37,C12,Yield_Log!K10:K36)</f>
        <v>75440</v>
      </c>
      <c r="E12" s="7">
        <f>SUMIF(Yield_Log!D10:D36,C12,Yield_Log!L10:L36)</f>
        <v>22400</v>
      </c>
      <c r="F12" s="10">
        <f t="shared" ca="1" si="0"/>
        <v>53040</v>
      </c>
      <c r="J12" s="42" t="s">
        <v>27</v>
      </c>
      <c r="K12" s="10">
        <f>SUMIF(Yield_Log!G10:G36,J12,Yield_Log!K10:K36)</f>
        <v>49920</v>
      </c>
      <c r="O12" s="42" t="s">
        <v>27</v>
      </c>
      <c r="P12" s="46">
        <f>ROUND(IFERROR(SUMIF(Yield_Log!G10:G36,O12,Yield_Log!M10:M36)/SUMIF(Yield_Log!G10:G36,O12,Yield_Log!K10:K36),0),2)</f>
        <v>0.67</v>
      </c>
    </row>
    <row r="13" spans="3:16" ht="28.5">
      <c r="C13" s="35" t="s">
        <v>8</v>
      </c>
      <c r="D13" s="7">
        <f ca="1">SUMIF(Yield_Log!D11:D38,C13,Yield_Log!K11:K37)</f>
        <v>51810</v>
      </c>
      <c r="E13" s="7">
        <f>SUMIF(Yield_Log!D11:D37,C13,Yield_Log!L11:L37)</f>
        <v>17400</v>
      </c>
      <c r="F13" s="10">
        <f t="shared" ca="1" si="0"/>
        <v>34410</v>
      </c>
      <c r="J13" s="42" t="s">
        <v>28</v>
      </c>
      <c r="K13" s="10">
        <f>SUMIF(Yield_Log!G11:G37,J13,Yield_Log!K11:K37)</f>
        <v>24750</v>
      </c>
      <c r="O13" s="42" t="s">
        <v>28</v>
      </c>
      <c r="P13" s="46">
        <f>ROUND(IFERROR(SUMIF(Yield_Log!G11:G37,O13,Yield_Log!M11:M37)/SUMIF(Yield_Log!G11:G37,O13,Yield_Log!K11:K37),0),2)</f>
        <v>0.65</v>
      </c>
    </row>
    <row r="14" spans="3:16" ht="43.5" thickBot="1">
      <c r="C14" s="38" t="s">
        <v>9</v>
      </c>
      <c r="D14" s="12">
        <f ca="1">SUMIF(Yield_Log!D12:D39,C14,Yield_Log!K12:K38)</f>
        <v>68320</v>
      </c>
      <c r="E14" s="12">
        <f>SUMIF(Yield_Log!D12:D38,C14,Yield_Log!L12:L38)</f>
        <v>20400</v>
      </c>
      <c r="F14" s="16">
        <f t="shared" ca="1" si="0"/>
        <v>47920</v>
      </c>
      <c r="J14" s="35" t="s">
        <v>29</v>
      </c>
      <c r="K14" s="10">
        <f>SUMIF(Yield_Log!G12:G38,J14,Yield_Log!K12:K38)</f>
        <v>58800</v>
      </c>
      <c r="O14" s="35" t="s">
        <v>29</v>
      </c>
      <c r="P14" s="46">
        <f>ROUND(IFERROR(SUMIF(Yield_Log!G12:G38,O14,Yield_Log!M12:M38)/SUMIF(Yield_Log!G12:G38,O14,Yield_Log!K12:K38),0),2)</f>
        <v>0.7</v>
      </c>
    </row>
    <row r="15" spans="3:16" ht="29.25" thickBot="1">
      <c r="J15" s="38" t="s">
        <v>30</v>
      </c>
      <c r="K15" s="16">
        <f>SUMIF(Yield_Log!G13:G39,J15,Yield_Log!K13:K39)</f>
        <v>25056</v>
      </c>
      <c r="O15" s="38" t="s">
        <v>30</v>
      </c>
      <c r="P15" s="47">
        <f>ROUND(IFERROR(SUMIF(Yield_Log!G13:G39,O15,Yield_Log!M13:M39)/SUMIF(Yield_Log!G13:G39,O15,Yield_Log!K13:K39),0),2)</f>
        <v>0.73</v>
      </c>
    </row>
  </sheetData>
  <mergeCells count="3">
    <mergeCell ref="C3:F3"/>
    <mergeCell ref="J3:K3"/>
    <mergeCell ref="O3:P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33585-0081-4DC1-BD38-F159E65B413D}">
  <dimension ref="C2:F13"/>
  <sheetViews>
    <sheetView showGridLines="0" workbookViewId="0">
      <selection activeCell="G4" sqref="G4"/>
    </sheetView>
  </sheetViews>
  <sheetFormatPr defaultRowHeight="14.25"/>
  <sheetData>
    <row r="2" spans="3:6" ht="15" thickBot="1"/>
    <row r="3" spans="3:6" ht="29.25" thickBot="1">
      <c r="C3" s="23" t="s">
        <v>0</v>
      </c>
      <c r="D3" s="51" t="s">
        <v>10</v>
      </c>
      <c r="E3" s="51" t="s">
        <v>20</v>
      </c>
      <c r="F3" s="45" t="s">
        <v>31</v>
      </c>
    </row>
    <row r="4" spans="3:6" ht="28.5">
      <c r="C4" s="39" t="s">
        <v>1</v>
      </c>
      <c r="D4" s="18" t="s">
        <v>11</v>
      </c>
      <c r="E4" s="18" t="s">
        <v>21</v>
      </c>
      <c r="F4" s="50" t="s">
        <v>32</v>
      </c>
    </row>
    <row r="5" spans="3:6" ht="28.5">
      <c r="C5" s="35" t="s">
        <v>2</v>
      </c>
      <c r="D5" s="5" t="s">
        <v>12</v>
      </c>
      <c r="E5" s="7" t="s">
        <v>22</v>
      </c>
      <c r="F5" s="37" t="s">
        <v>32</v>
      </c>
    </row>
    <row r="6" spans="3:6" ht="42.75">
      <c r="C6" s="35" t="s">
        <v>3</v>
      </c>
      <c r="D6" s="5" t="s">
        <v>13</v>
      </c>
      <c r="E6" s="7" t="s">
        <v>23</v>
      </c>
      <c r="F6" s="37" t="s">
        <v>32</v>
      </c>
    </row>
    <row r="7" spans="3:6" ht="28.5">
      <c r="C7" s="35" t="s">
        <v>4</v>
      </c>
      <c r="D7" s="5" t="s">
        <v>14</v>
      </c>
      <c r="E7" s="7" t="s">
        <v>24</v>
      </c>
      <c r="F7" s="37" t="s">
        <v>32</v>
      </c>
    </row>
    <row r="8" spans="3:6" ht="28.5">
      <c r="C8" s="35" t="s">
        <v>5</v>
      </c>
      <c r="D8" s="5" t="s">
        <v>15</v>
      </c>
      <c r="E8" s="7" t="s">
        <v>25</v>
      </c>
      <c r="F8" s="37" t="s">
        <v>32</v>
      </c>
    </row>
    <row r="9" spans="3:6" ht="28.5">
      <c r="C9" s="35" t="s">
        <v>6</v>
      </c>
      <c r="D9" s="5" t="s">
        <v>16</v>
      </c>
      <c r="E9" s="7" t="s">
        <v>26</v>
      </c>
      <c r="F9" s="37" t="s">
        <v>32</v>
      </c>
    </row>
    <row r="10" spans="3:6" ht="28.5">
      <c r="C10" s="35" t="s">
        <v>7</v>
      </c>
      <c r="D10" s="5" t="s">
        <v>17</v>
      </c>
      <c r="E10" s="7" t="s">
        <v>27</v>
      </c>
      <c r="F10" s="37" t="s">
        <v>32</v>
      </c>
    </row>
    <row r="11" spans="3:6" ht="28.5">
      <c r="C11" s="35" t="s">
        <v>8</v>
      </c>
      <c r="D11" s="5" t="s">
        <v>18</v>
      </c>
      <c r="E11" s="7" t="s">
        <v>28</v>
      </c>
      <c r="F11" s="37" t="s">
        <v>32</v>
      </c>
    </row>
    <row r="12" spans="3:6" ht="42.75">
      <c r="C12" s="35" t="s">
        <v>9</v>
      </c>
      <c r="D12" s="5" t="s">
        <v>19</v>
      </c>
      <c r="E12" s="7" t="s">
        <v>29</v>
      </c>
      <c r="F12" s="37" t="s">
        <v>32</v>
      </c>
    </row>
    <row r="13" spans="3:6" ht="15" thickBot="1">
      <c r="C13" s="11"/>
      <c r="D13" s="12"/>
      <c r="E13" s="12" t="s">
        <v>30</v>
      </c>
      <c r="F13" s="1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317a829-b55e-44a5-8764-5aaac8651c7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D3E861F40E8F4B9964F1FB9F317381" ma:contentTypeVersion="8" ma:contentTypeDescription="Create a new document." ma:contentTypeScope="" ma:versionID="d519cd46c23b2070703ef1167ce10a3c">
  <xsd:schema xmlns:xsd="http://www.w3.org/2001/XMLSchema" xmlns:xs="http://www.w3.org/2001/XMLSchema" xmlns:p="http://schemas.microsoft.com/office/2006/metadata/properties" xmlns:ns3="3317a829-b55e-44a5-8764-5aaac8651c7a" xmlns:ns4="9ca3d369-2af5-4c9c-af69-2dcfe7d3eb1a" targetNamespace="http://schemas.microsoft.com/office/2006/metadata/properties" ma:root="true" ma:fieldsID="644d3598af27bfa99cdeedea40bb6b99" ns3:_="" ns4:_="">
    <xsd:import namespace="3317a829-b55e-44a5-8764-5aaac8651c7a"/>
    <xsd:import namespace="9ca3d369-2af5-4c9c-af69-2dcfe7d3eb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17a829-b55e-44a5-8764-5aaac8651c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a3d369-2af5-4c9c-af69-2dcfe7d3eb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BD003A-93C4-412E-95DC-26DDEEAA860D}">
  <ds:schemaRefs>
    <ds:schemaRef ds:uri="http://schemas.microsoft.com/office/2006/metadata/properties"/>
    <ds:schemaRef ds:uri="http://www.w3.org/2000/xmlns/"/>
    <ds:schemaRef ds:uri="3317a829-b55e-44a5-8764-5aaac8651c7a"/>
    <ds:schemaRef ds:uri="http://www.w3.org/2001/XMLSchema-instanc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8F80506-5500-43C4-9F07-A2195B80CBC7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3317a829-b55e-44a5-8764-5aaac8651c7a"/>
    <ds:schemaRef ds:uri="9ca3d369-2af5-4c9c-af69-2dcfe7d3eb1a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2E7890-90C1-4696-8454-48B2EBF90C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Input_Log</vt:lpstr>
      <vt:lpstr>Yield_Log</vt:lpstr>
      <vt:lpstr>Profitability_Summary</vt:lpstr>
      <vt:lpstr>Chart_Data</vt:lpstr>
      <vt:lpstr>Lookup_Tables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Doctor Banele Nhambe</dc:creator>
  <cp:lastModifiedBy>ABC</cp:lastModifiedBy>
  <dcterms:created xsi:type="dcterms:W3CDTF">2026-03-11T07:19:14Z</dcterms:created>
  <dcterms:modified xsi:type="dcterms:W3CDTF">2026-04-14T16:29:24Z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0x0101004AD3E861F40E8F4B9964F1FB9F317381</vt:lpwstr>
  </property>
</Properties>
</file>