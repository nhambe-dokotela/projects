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C\Desktop\"/>
    </mc:Choice>
  </mc:AlternateContent>
  <xr:revisionPtr revIDLastSave="0" documentId="8_{3E909AD4-F596-8341-ACFF-C015CC54A7B6}" xr6:coauthVersionLast="47" xr6:coauthVersionMax="47" xr10:uidLastSave="{00000000-0000-0000-0000-000000000000}"/>
  <bookViews>
    <workbookView xWindow="-120" yWindow="-120" windowWidth="20730" windowHeight="11040" xr2:uid="{93826D62-03DC-422F-AB82-D9F57FF596E4}"/>
  </bookViews>
  <sheets>
    <sheet name="Dashboard" sheetId="1" r:id="rId1"/>
    <sheet name="Intake_log" sheetId="2" r:id="rId2"/>
    <sheet name="Risk_Scoring" sheetId="3" r:id="rId3"/>
    <sheet name="Lookup_Table" sheetId="4" r:id="rId4"/>
    <sheet name="Charts" sheetId="5" r:id="rId5"/>
  </sheets>
  <externalReferences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1" l="1"/>
  <c r="I43" i="1"/>
  <c r="G43" i="1"/>
  <c r="F43" i="1"/>
  <c r="E43" i="1"/>
  <c r="D43" i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3" i="5"/>
  <c r="L4" i="5"/>
  <c r="L3" i="5"/>
  <c r="W9" i="2"/>
  <c r="D5" i="1"/>
  <c r="D8" i="1"/>
  <c r="W6" i="2"/>
  <c r="W7" i="2"/>
  <c r="W8" i="2"/>
  <c r="G9" i="3"/>
  <c r="W10" i="2"/>
  <c r="G10" i="3"/>
  <c r="W12" i="2"/>
  <c r="G12" i="3"/>
  <c r="W13" i="2"/>
  <c r="G13" i="3"/>
  <c r="W14" i="2"/>
  <c r="G14" i="3"/>
  <c r="W16" i="2"/>
  <c r="G16" i="3"/>
  <c r="W17" i="2"/>
  <c r="G17" i="3"/>
  <c r="W18" i="2"/>
  <c r="G18" i="3"/>
  <c r="W4" i="2"/>
  <c r="G4" i="3"/>
  <c r="G6" i="3"/>
  <c r="G7" i="3"/>
  <c r="G8" i="3"/>
  <c r="F6" i="3"/>
  <c r="H6" i="3"/>
  <c r="F7" i="3"/>
  <c r="F8" i="3"/>
  <c r="F9" i="3"/>
  <c r="H7" i="3"/>
  <c r="F10" i="3"/>
  <c r="H10" i="3"/>
  <c r="F12" i="3"/>
  <c r="H12" i="3"/>
  <c r="F13" i="3"/>
  <c r="H13" i="3"/>
  <c r="F14" i="3"/>
  <c r="F16" i="3"/>
  <c r="H16" i="3"/>
  <c r="F17" i="3"/>
  <c r="H17" i="3"/>
  <c r="F18" i="3"/>
  <c r="F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4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S5" i="2"/>
  <c r="S6" i="2"/>
  <c r="S7" i="2"/>
  <c r="S8" i="2"/>
  <c r="S9" i="2"/>
  <c r="S10" i="2"/>
  <c r="S11" i="2"/>
  <c r="S12" i="2"/>
  <c r="V12" i="2"/>
  <c r="S13" i="2"/>
  <c r="V13" i="2"/>
  <c r="S14" i="2"/>
  <c r="V14" i="2"/>
  <c r="S15" i="2"/>
  <c r="S16" i="2"/>
  <c r="S17" i="2"/>
  <c r="S18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U5" i="2"/>
  <c r="U6" i="2"/>
  <c r="U7" i="2"/>
  <c r="V7" i="2"/>
  <c r="U8" i="2"/>
  <c r="V8" i="2"/>
  <c r="U9" i="2"/>
  <c r="V9" i="2"/>
  <c r="U10" i="2"/>
  <c r="V10" i="2"/>
  <c r="U11" i="2"/>
  <c r="U12" i="2"/>
  <c r="U13" i="2"/>
  <c r="U14" i="2"/>
  <c r="U15" i="2"/>
  <c r="U16" i="2"/>
  <c r="U17" i="2"/>
  <c r="U18" i="2"/>
  <c r="U4" i="2"/>
  <c r="V6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V4" i="2"/>
  <c r="T4" i="2"/>
  <c r="S4" i="2"/>
  <c r="R4" i="2"/>
  <c r="Q4" i="2"/>
  <c r="P4" i="2"/>
  <c r="O4" i="2"/>
  <c r="V15" i="2"/>
  <c r="V11" i="2"/>
  <c r="W11" i="2"/>
  <c r="V5" i="2"/>
  <c r="H4" i="3"/>
  <c r="H9" i="3"/>
  <c r="H18" i="3"/>
  <c r="H14" i="3"/>
  <c r="V17" i="2"/>
  <c r="V18" i="2"/>
  <c r="V16" i="2"/>
  <c r="F15" i="3"/>
  <c r="W15" i="2"/>
  <c r="G15" i="3"/>
  <c r="F11" i="3"/>
  <c r="H11" i="3"/>
  <c r="G11" i="3"/>
  <c r="F5" i="3"/>
  <c r="W5" i="2"/>
  <c r="H8" i="3"/>
  <c r="H15" i="3"/>
  <c r="G5" i="3"/>
  <c r="D6" i="1"/>
  <c r="D7" i="1"/>
  <c r="H5" i="3"/>
  <c r="F14" i="1"/>
  <c r="F15" i="1"/>
  <c r="F16" i="1"/>
  <c r="F18" i="1"/>
  <c r="G18" i="1"/>
  <c r="F17" i="1"/>
  <c r="G17" i="1"/>
  <c r="E17" i="1"/>
  <c r="C17" i="1"/>
  <c r="D17" i="1"/>
  <c r="G15" i="1"/>
  <c r="E15" i="1"/>
  <c r="D15" i="1"/>
  <c r="C15" i="1"/>
  <c r="G16" i="1"/>
  <c r="E16" i="1"/>
  <c r="D16" i="1"/>
  <c r="C16" i="1"/>
  <c r="E18" i="1"/>
  <c r="D18" i="1"/>
  <c r="C18" i="1"/>
  <c r="G14" i="1"/>
  <c r="D14" i="1"/>
  <c r="E14" i="1"/>
  <c r="C14" i="1"/>
</calcChain>
</file>

<file path=xl/sharedStrings.xml><?xml version="1.0" encoding="utf-8"?>
<sst xmlns="http://schemas.openxmlformats.org/spreadsheetml/2006/main" count="359" uniqueCount="205">
  <si>
    <t>a</t>
  </si>
  <si>
    <t>Dataset: Maize Intake Quality — Simulated SA Agribusiness Data (2025)</t>
  </si>
  <si>
    <t>Batch ID</t>
  </si>
  <si>
    <t>Farmer Name</t>
  </si>
  <si>
    <t>Date</t>
  </si>
  <si>
    <t>Province</t>
  </si>
  <si>
    <t>Quantity (tons)</t>
  </si>
  <si>
    <t>Moisture (%)</t>
  </si>
  <si>
    <t>Broken Kernels (%)</t>
  </si>
  <si>
    <t>Discoloured (%)</t>
  </si>
  <si>
    <t>Foreign Matter (%)</t>
  </si>
  <si>
    <t>Mouldy (%)</t>
  </si>
  <si>
    <t>Insect Damage (%)</t>
  </si>
  <si>
    <t>Aflatoxin (ppb)</t>
  </si>
  <si>
    <t>B001</t>
  </si>
  <si>
    <t>Sipho Dlamini</t>
  </si>
  <si>
    <t>01/03/2025</t>
  </si>
  <si>
    <t>Mpumalanga</t>
  </si>
  <si>
    <t>12.5</t>
  </si>
  <si>
    <t>11.8</t>
  </si>
  <si>
    <t>2.1</t>
  </si>
  <si>
    <t>1.8</t>
  </si>
  <si>
    <t>0.6</t>
  </si>
  <si>
    <t>0.4</t>
  </si>
  <si>
    <t>0.8</t>
  </si>
  <si>
    <t>B002</t>
  </si>
  <si>
    <t>Nomsa Khumalo</t>
  </si>
  <si>
    <t>02/03/2025</t>
  </si>
  <si>
    <t>KwaZulu-Natal</t>
  </si>
  <si>
    <t>8.0</t>
  </si>
  <si>
    <t>13.2</t>
  </si>
  <si>
    <t>4.5</t>
  </si>
  <si>
    <t>3.8</t>
  </si>
  <si>
    <t>1.4</t>
  </si>
  <si>
    <t>1.1</t>
  </si>
  <si>
    <t>1.3</t>
  </si>
  <si>
    <t>B003</t>
  </si>
  <si>
    <t>Petrus van Wyk</t>
  </si>
  <si>
    <t>03/03/2025</t>
  </si>
  <si>
    <t>Free State</t>
  </si>
  <si>
    <t>20.0</t>
  </si>
  <si>
    <t>11.2</t>
  </si>
  <si>
    <t>0.5</t>
  </si>
  <si>
    <t>0.3</t>
  </si>
  <si>
    <t>B004</t>
  </si>
  <si>
    <t>Thembi Mokoena</t>
  </si>
  <si>
    <t>04/03/2025</t>
  </si>
  <si>
    <t>Limpopo</t>
  </si>
  <si>
    <t>6.5</t>
  </si>
  <si>
    <t>14.8</t>
  </si>
  <si>
    <t>7.2</t>
  </si>
  <si>
    <t>5.6</t>
  </si>
  <si>
    <t>2.3</t>
  </si>
  <si>
    <t>3.2</t>
  </si>
  <si>
    <t>B005</t>
  </si>
  <si>
    <t>Johannes Sithole</t>
  </si>
  <si>
    <t>05/03/2025</t>
  </si>
  <si>
    <t>15.0</t>
  </si>
  <si>
    <t>12.1</t>
  </si>
  <si>
    <t>2.8</t>
  </si>
  <si>
    <t>2.4</t>
  </si>
  <si>
    <t>0.9</t>
  </si>
  <si>
    <t>0.7</t>
  </si>
  <si>
    <t>1.0</t>
  </si>
  <si>
    <t>B006</t>
  </si>
  <si>
    <t>Lindiwe Nkosi</t>
  </si>
  <si>
    <t>06/03/2025</t>
  </si>
  <si>
    <t>Gauteng</t>
  </si>
  <si>
    <t>9.0</t>
  </si>
  <si>
    <t>13.8</t>
  </si>
  <si>
    <t>5.1</t>
  </si>
  <si>
    <t>4.2</t>
  </si>
  <si>
    <t>1.6</t>
  </si>
  <si>
    <t>B007</t>
  </si>
  <si>
    <t>Kobus Pretorius</t>
  </si>
  <si>
    <t>07/03/2025</t>
  </si>
  <si>
    <t>North West</t>
  </si>
  <si>
    <t>18.5</t>
  </si>
  <si>
    <t>11.5</t>
  </si>
  <si>
    <t>1.5</t>
  </si>
  <si>
    <t>1.9</t>
  </si>
  <si>
    <t>B008</t>
  </si>
  <si>
    <t>Zanele Mthembu</t>
  </si>
  <si>
    <t>08/03/2025</t>
  </si>
  <si>
    <t>7.5</t>
  </si>
  <si>
    <t>12.8</t>
  </si>
  <si>
    <t>3.6</t>
  </si>
  <si>
    <t>3.1</t>
  </si>
  <si>
    <t>1.2</t>
  </si>
  <si>
    <t>B009</t>
  </si>
  <si>
    <t>Andile Cele</t>
  </si>
  <si>
    <t>09/03/2025</t>
  </si>
  <si>
    <t>Eastern Cape</t>
  </si>
  <si>
    <t>11.0</t>
  </si>
  <si>
    <t>11.9</t>
  </si>
  <si>
    <t>2.2</t>
  </si>
  <si>
    <t>2.0</t>
  </si>
  <si>
    <t>B010</t>
  </si>
  <si>
    <t>Maria Sekgobela</t>
  </si>
  <si>
    <t>10/03/2025</t>
  </si>
  <si>
    <t>5.5</t>
  </si>
  <si>
    <t>15.2</t>
  </si>
  <si>
    <t>8.4</t>
  </si>
  <si>
    <t>6.1</t>
  </si>
  <si>
    <t>2.6</t>
  </si>
  <si>
    <t>B011</t>
  </si>
  <si>
    <t>Frikkie Botha</t>
  </si>
  <si>
    <t>11/03/2025</t>
  </si>
  <si>
    <t>22.0</t>
  </si>
  <si>
    <t>11.1</t>
  </si>
  <si>
    <t>1.7</t>
  </si>
  <si>
    <t>0.2</t>
  </si>
  <si>
    <t>B012</t>
  </si>
  <si>
    <t>Precious Mahlangu</t>
  </si>
  <si>
    <t>12/03/2025</t>
  </si>
  <si>
    <t>8.5</t>
  </si>
  <si>
    <t>13.5</t>
  </si>
  <si>
    <t>4.8</t>
  </si>
  <si>
    <t>4.0</t>
  </si>
  <si>
    <t>B013</t>
  </si>
  <si>
    <t>Sifiso Zulu</t>
  </si>
  <si>
    <t>13/03/2025</t>
  </si>
  <si>
    <t>14.0</t>
  </si>
  <si>
    <t>12.3</t>
  </si>
  <si>
    <t>2.5</t>
  </si>
  <si>
    <t>B014</t>
  </si>
  <si>
    <t>Grietjie Swart</t>
  </si>
  <si>
    <t>14/03/2025</t>
  </si>
  <si>
    <t>16.5</t>
  </si>
  <si>
    <t>11.7</t>
  </si>
  <si>
    <t>B015</t>
  </si>
  <si>
    <t>Bongani Ntuli</t>
  </si>
  <si>
    <t>15/03/2025</t>
  </si>
  <si>
    <t>10.0</t>
  </si>
  <si>
    <t>14.1</t>
  </si>
  <si>
    <t>6.3</t>
  </si>
  <si>
    <t>Quality Thresholds to build your Lookup Table:</t>
  </si>
  <si>
    <t>Parameter</t>
  </si>
  <si>
    <t>Acceptable</t>
  </si>
  <si>
    <t>Borderline</t>
  </si>
  <si>
    <t>Reject</t>
  </si>
  <si>
    <t>&lt; 12.5</t>
  </si>
  <si>
    <t>12.5 – 14.0</t>
  </si>
  <si>
    <t>&gt; 14.0</t>
  </si>
  <si>
    <t>&lt; 3.0</t>
  </si>
  <si>
    <t>3.0 – 6.0</t>
  </si>
  <si>
    <t>&gt; 6.0</t>
  </si>
  <si>
    <t>3.0 – 5.0</t>
  </si>
  <si>
    <t>&gt; 5.0</t>
  </si>
  <si>
    <t>&lt; 1.0</t>
  </si>
  <si>
    <t>1.0 – 2.0</t>
  </si>
  <si>
    <t>&gt; 2.0</t>
  </si>
  <si>
    <t>1.0 – 3.0</t>
  </si>
  <si>
    <t>&gt; 3.0</t>
  </si>
  <si>
    <t>1.0 – 2.5</t>
  </si>
  <si>
    <t>&gt; 2.5</t>
  </si>
  <si>
    <t>&lt; 10</t>
  </si>
  <si>
    <t>10 – 20</t>
  </si>
  <si>
    <t>&gt; 20</t>
  </si>
  <si>
    <t>Scoring per parameter:</t>
  </si>
  <si>
    <t>Total score decision:</t>
  </si>
  <si>
    <t>0-2</t>
  </si>
  <si>
    <t>3–5</t>
  </si>
  <si>
    <t>6+</t>
  </si>
  <si>
    <t>Accept</t>
  </si>
  <si>
    <t>Conditional</t>
  </si>
  <si>
    <t>Value</t>
  </si>
  <si>
    <t>Decision</t>
  </si>
  <si>
    <t>Points</t>
  </si>
  <si>
    <t xml:space="preserve">Acceptable </t>
  </si>
  <si>
    <t>0 points</t>
  </si>
  <si>
    <t xml:space="preserve">Borderline </t>
  </si>
  <si>
    <t>1 point</t>
  </si>
  <si>
    <t xml:space="preserve">Reject level </t>
  </si>
  <si>
    <t>2 points</t>
  </si>
  <si>
    <t>Date Received</t>
  </si>
  <si>
    <t>Moisture Score</t>
  </si>
  <si>
    <t>Broken Kernels Score</t>
  </si>
  <si>
    <t>Discoloured Score</t>
  </si>
  <si>
    <t>Foreign Matter Score</t>
  </si>
  <si>
    <t>Mouldy Score</t>
  </si>
  <si>
    <t>Insect Damage Score</t>
  </si>
  <si>
    <t>Aflatoxin Score</t>
  </si>
  <si>
    <t>Total Risk Score</t>
  </si>
  <si>
    <t xml:space="preserve">Batch ID </t>
  </si>
  <si>
    <t>Total</t>
  </si>
  <si>
    <t>Risk Level</t>
  </si>
  <si>
    <t>Maize Intake Quality Risk Analyser</t>
  </si>
  <si>
    <t>Total Batches</t>
  </si>
  <si>
    <t>Total Accepted</t>
  </si>
  <si>
    <t>Total Rejected</t>
  </si>
  <si>
    <t>Average moisture</t>
  </si>
  <si>
    <t>Batch_ID</t>
  </si>
  <si>
    <t>Farmer_Name</t>
  </si>
  <si>
    <t>Total_Risk_Score</t>
  </si>
  <si>
    <t>accept</t>
  </si>
  <si>
    <t>reject</t>
  </si>
  <si>
    <t>category</t>
  </si>
  <si>
    <t>count</t>
  </si>
  <si>
    <t>Risk_Score</t>
  </si>
  <si>
    <t>Select Farmer</t>
  </si>
  <si>
    <t>Risk Score</t>
  </si>
  <si>
    <t>Top 5 Highest Risk Batches</t>
  </si>
  <si>
    <t>Farmer Batch Lookup</t>
  </si>
  <si>
    <t>Built by Nhambe DB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</si>
</sst>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rial Narrow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b/>
      <sz val="16"/>
      <color theme="1"/>
      <name val="Arial Narrow"/>
      <family val="2"/>
    </font>
    <font>
      <b/>
      <sz val="14"/>
      <color theme="1"/>
      <name val="Arial Narrow"/>
      <family val="2"/>
    </font>
    <font>
      <sz val="11"/>
      <color theme="0"/>
      <name val="Aptos Narrow"/>
      <family val="2"/>
      <scheme val="minor"/>
    </font>
    <font>
      <i/>
      <sz val="11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0" fillId="0" borderId="1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0" fillId="0" borderId="24" xfId="0" applyBorder="1" applyAlignment="1">
      <alignment vertical="center" wrapText="1"/>
    </xf>
    <xf numFmtId="0" fontId="0" fillId="0" borderId="4" xfId="0" applyBorder="1" applyAlignment="1">
      <alignment horizontal="left" vertical="center" indent="1"/>
    </xf>
    <xf numFmtId="0" fontId="0" fillId="0" borderId="5" xfId="0" applyBorder="1"/>
    <xf numFmtId="0" fontId="0" fillId="0" borderId="6" xfId="0" applyBorder="1" applyAlignment="1">
      <alignment horizontal="left" vertical="center" indent="1"/>
    </xf>
    <xf numFmtId="0" fontId="0" fillId="0" borderId="8" xfId="0" applyBorder="1"/>
    <xf numFmtId="16" fontId="0" fillId="0" borderId="4" xfId="0" applyNumberFormat="1" applyBorder="1"/>
    <xf numFmtId="0" fontId="0" fillId="0" borderId="6" xfId="0" applyBorder="1"/>
    <xf numFmtId="0" fontId="0" fillId="0" borderId="9" xfId="0" applyBorder="1"/>
    <xf numFmtId="0" fontId="0" fillId="0" borderId="11" xfId="0" applyBorder="1"/>
    <xf numFmtId="0" fontId="0" fillId="0" borderId="9" xfId="0" applyBorder="1" applyAlignment="1">
      <alignment horizontal="left" vertical="center" indent="1"/>
    </xf>
    <xf numFmtId="0" fontId="2" fillId="0" borderId="12" xfId="0" applyFont="1" applyBorder="1" applyAlignment="1">
      <alignment horizontal="left" vertical="center" indent="1"/>
    </xf>
    <xf numFmtId="0" fontId="2" fillId="0" borderId="14" xfId="0" applyFont="1" applyBorder="1"/>
    <xf numFmtId="0" fontId="2" fillId="0" borderId="12" xfId="0" applyFont="1" applyBorder="1"/>
    <xf numFmtId="0" fontId="2" fillId="0" borderId="0" xfId="0" applyFont="1"/>
    <xf numFmtId="0" fontId="4" fillId="0" borderId="0" xfId="0" applyFont="1"/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/>
    <xf numFmtId="0" fontId="0" fillId="0" borderId="25" xfId="0" applyBorder="1"/>
    <xf numFmtId="0" fontId="0" fillId="0" borderId="0" xfId="0" applyAlignment="1">
      <alignment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0" fillId="0" borderId="20" xfId="0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3" xfId="0" applyBorder="1"/>
    <xf numFmtId="0" fontId="0" fillId="0" borderId="13" xfId="0" applyBorder="1" applyAlignment="1">
      <alignment wrapText="1"/>
    </xf>
    <xf numFmtId="0" fontId="0" fillId="0" borderId="14" xfId="0" applyBorder="1" applyAlignment="1">
      <alignment horizontal="center" wrapText="1"/>
    </xf>
    <xf numFmtId="0" fontId="0" fillId="0" borderId="10" xfId="0" applyBorder="1" applyAlignment="1">
      <alignment wrapText="1"/>
    </xf>
    <xf numFmtId="0" fontId="5" fillId="0" borderId="0" xfId="0" applyFont="1"/>
    <xf numFmtId="0" fontId="3" fillId="5" borderId="2" xfId="0" applyFont="1" applyFill="1" applyBorder="1" applyAlignment="1">
      <alignment horizontal="center" wrapText="1"/>
    </xf>
    <xf numFmtId="0" fontId="6" fillId="5" borderId="3" xfId="0" applyFont="1" applyFill="1" applyBorder="1" applyAlignment="1">
      <alignment wrapText="1"/>
    </xf>
    <xf numFmtId="0" fontId="3" fillId="4" borderId="4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wrapText="1"/>
    </xf>
    <xf numFmtId="0" fontId="3" fillId="3" borderId="6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wrapText="1"/>
    </xf>
    <xf numFmtId="0" fontId="0" fillId="0" borderId="1" xfId="0" applyBorder="1"/>
    <xf numFmtId="0" fontId="0" fillId="0" borderId="27" xfId="0" applyBorder="1"/>
    <xf numFmtId="0" fontId="0" fillId="0" borderId="28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4" xfId="0" applyBorder="1"/>
    <xf numFmtId="0" fontId="0" fillId="0" borderId="7" xfId="0" applyBorder="1"/>
    <xf numFmtId="0" fontId="0" fillId="0" borderId="7" xfId="0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/>
    </xf>
    <xf numFmtId="0" fontId="7" fillId="0" borderId="0" xfId="0" applyFont="1"/>
    <xf numFmtId="0" fontId="0" fillId="6" borderId="0" xfId="0" applyFill="1"/>
    <xf numFmtId="0" fontId="1" fillId="0" borderId="14" xfId="0" applyFont="1" applyBorder="1" applyAlignment="1">
      <alignment horizontal="center" wrapText="1"/>
    </xf>
    <xf numFmtId="0" fontId="0" fillId="6" borderId="4" xfId="0" applyFill="1" applyBorder="1"/>
    <xf numFmtId="0" fontId="0" fillId="6" borderId="5" xfId="0" applyFill="1" applyBorder="1"/>
    <xf numFmtId="0" fontId="0" fillId="6" borderId="9" xfId="0" applyFill="1" applyBorder="1"/>
    <xf numFmtId="0" fontId="0" fillId="6" borderId="11" xfId="0" applyFill="1" applyBorder="1"/>
    <xf numFmtId="0" fontId="1" fillId="6" borderId="12" xfId="0" applyFont="1" applyFill="1" applyBorder="1"/>
    <xf numFmtId="0" fontId="1" fillId="6" borderId="14" xfId="0" applyFont="1" applyFill="1" applyBorder="1"/>
    <xf numFmtId="0" fontId="6" fillId="0" borderId="0" xfId="0" applyFont="1"/>
    <xf numFmtId="0" fontId="0" fillId="0" borderId="26" xfId="0" applyBorder="1" applyAlignment="1">
      <alignment wrapText="1"/>
    </xf>
    <xf numFmtId="0" fontId="6" fillId="0" borderId="12" xfId="0" applyFont="1" applyBorder="1" applyAlignment="1">
      <alignment wrapText="1"/>
    </xf>
    <xf numFmtId="0" fontId="6" fillId="0" borderId="13" xfId="0" applyFont="1" applyBorder="1"/>
    <xf numFmtId="0" fontId="6" fillId="0" borderId="13" xfId="0" applyFont="1" applyBorder="1" applyAlignment="1">
      <alignment horizontal="center" wrapText="1"/>
    </xf>
    <xf numFmtId="0" fontId="6" fillId="0" borderId="14" xfId="0" applyFont="1" applyBorder="1" applyAlignment="1">
      <alignment wrapText="1"/>
    </xf>
    <xf numFmtId="0" fontId="0" fillId="0" borderId="20" xfId="0" applyBorder="1" applyAlignment="1">
      <alignment wrapText="1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</cellXfs>
  <cellStyles count="1">
    <cellStyle name="Normal" xfId="0" builtinId="0"/>
  </cellStyles>
  <dxfs count="28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Narrow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9FF99"/>
      <color rgb="FFFF37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externalLink" Target="externalLinks/externalLink1.xml" /><Relationship Id="rId5" Type="http://schemas.openxmlformats.org/officeDocument/2006/relationships/worksheet" Target="worksheets/sheet5.xml" /><Relationship Id="rId10" Type="http://schemas.openxmlformats.org/officeDocument/2006/relationships/calcChain" Target="calcChain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Batch Decision Breakdown</a:t>
            </a:r>
          </a:p>
        </c:rich>
      </c:tx>
      <c:layout>
        <c:manualLayout>
          <c:xMode val="edge"/>
          <c:yMode val="edge"/>
          <c:x val="0.24934011373578302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Charts!$L$2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86A-449D-AF8F-0DE63ACAA69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86A-449D-AF8F-0DE63ACAA695}"/>
              </c:ext>
            </c:extLst>
          </c:dPt>
          <c:cat>
            <c:strRef>
              <c:f>Charts!$K$3:$K$4</c:f>
              <c:strCache>
                <c:ptCount val="2"/>
                <c:pt idx="0">
                  <c:v>accept</c:v>
                </c:pt>
                <c:pt idx="1">
                  <c:v>reject</c:v>
                </c:pt>
              </c:strCache>
            </c:strRef>
          </c:cat>
          <c:val>
            <c:numRef>
              <c:f>Charts!$L$3:$L$4</c:f>
              <c:numCache>
                <c:formatCode>General</c:formatCode>
                <c:ptCount val="2"/>
                <c:pt idx="0">
                  <c:v>8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A-449D-AF8F-0DE63ACAA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Risk_Score per Batch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Charts!$P$2</c:f>
              <c:strCache>
                <c:ptCount val="1"/>
                <c:pt idx="0">
                  <c:v>Risk_Score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Charts!$O$3:$O$17</c:f>
              <c:strCache>
                <c:ptCount val="15"/>
                <c:pt idx="0">
                  <c:v>B001</c:v>
                </c:pt>
                <c:pt idx="1">
                  <c:v>B002</c:v>
                </c:pt>
                <c:pt idx="2">
                  <c:v>B003</c:v>
                </c:pt>
                <c:pt idx="3">
                  <c:v>B004</c:v>
                </c:pt>
                <c:pt idx="4">
                  <c:v>B005</c:v>
                </c:pt>
                <c:pt idx="5">
                  <c:v>B006</c:v>
                </c:pt>
                <c:pt idx="6">
                  <c:v>B007</c:v>
                </c:pt>
                <c:pt idx="7">
                  <c:v>B008</c:v>
                </c:pt>
                <c:pt idx="8">
                  <c:v>B009</c:v>
                </c:pt>
                <c:pt idx="9">
                  <c:v>B010</c:v>
                </c:pt>
                <c:pt idx="10">
                  <c:v>B011</c:v>
                </c:pt>
                <c:pt idx="11">
                  <c:v>B012</c:v>
                </c:pt>
                <c:pt idx="12">
                  <c:v>B013</c:v>
                </c:pt>
                <c:pt idx="13">
                  <c:v>B014</c:v>
                </c:pt>
                <c:pt idx="14">
                  <c:v>B015</c:v>
                </c:pt>
              </c:strCache>
            </c:strRef>
          </c:cat>
          <c:val>
            <c:numRef>
              <c:f>Charts!$P$3:$P$17</c:f>
              <c:numCache>
                <c:formatCode>General</c:formatCode>
                <c:ptCount val="15"/>
                <c:pt idx="0">
                  <c:v>0</c:v>
                </c:pt>
                <c:pt idx="1">
                  <c:v>7</c:v>
                </c:pt>
                <c:pt idx="2">
                  <c:v>0</c:v>
                </c:pt>
                <c:pt idx="3">
                  <c:v>13</c:v>
                </c:pt>
                <c:pt idx="4">
                  <c:v>1</c:v>
                </c:pt>
                <c:pt idx="5">
                  <c:v>7</c:v>
                </c:pt>
                <c:pt idx="6">
                  <c:v>0</c:v>
                </c:pt>
                <c:pt idx="7">
                  <c:v>6</c:v>
                </c:pt>
                <c:pt idx="8">
                  <c:v>0</c:v>
                </c:pt>
                <c:pt idx="9">
                  <c:v>14</c:v>
                </c:pt>
                <c:pt idx="10">
                  <c:v>0</c:v>
                </c:pt>
                <c:pt idx="11">
                  <c:v>8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5-4EF0-84D2-174A84516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5008159"/>
        <c:axId val="1395009119"/>
      </c:barChart>
      <c:catAx>
        <c:axId val="139500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009119"/>
        <c:crosses val="autoZero"/>
        <c:auto val="1"/>
        <c:lblAlgn val="ctr"/>
        <c:lblOffset val="100"/>
        <c:noMultiLvlLbl val="0"/>
      </c:catAx>
      <c:valAx>
        <c:axId val="139500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008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404812</xdr:colOff>
      <xdr:row>21</xdr:row>
      <xdr:rowOff>147637</xdr:rowOff>
    </xdr:from>
    <xdr:to>
      <xdr:col>15</xdr:col>
      <xdr:colOff>176212</xdr:colOff>
      <xdr:row>36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EBFB78-3FC2-24A8-9ED4-F580929A2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123825</xdr:colOff>
      <xdr:row>21</xdr:row>
      <xdr:rowOff>166687</xdr:rowOff>
    </xdr:from>
    <xdr:to>
      <xdr:col>8</xdr:col>
      <xdr:colOff>133350</xdr:colOff>
      <xdr:row>37</xdr:row>
      <xdr:rowOff>14287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99153947-E594-4C06-94BA-2BDF9661B4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take%20Log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_Table"/>
      <sheetName val="Dashboard"/>
      <sheetName val="Intake_log"/>
      <sheetName val="Risk_Scoring"/>
      <sheetName val="Charts"/>
      <sheetName val="Intake Lo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B2E5CE-3DE6-4634-BBB2-5CBCBB6E962C}" name="Table1" displayName="Table1" ref="C5:N20" totalsRowShown="0" headerRowDxfId="27" dataDxfId="25" headerRowBorderDxfId="26" tableBorderDxfId="24">
  <autoFilter ref="C5:N20" xr:uid="{7DB2E5CE-3DE6-4634-BBB2-5CBCBB6E962C}"/>
  <tableColumns count="12">
    <tableColumn id="1" xr3:uid="{B7997D3E-AFF9-4C5F-8180-489EAF6457DB}" name="Batch ID" dataDxfId="23"/>
    <tableColumn id="2" xr3:uid="{AAF2EE24-5183-47C6-810A-39539F078115}" name="Farmer Name" dataDxfId="22"/>
    <tableColumn id="3" xr3:uid="{A8FC1EB3-9C84-4E31-930A-0AA05AED1658}" name="Date" dataDxfId="21"/>
    <tableColumn id="4" xr3:uid="{5D2E27E1-9464-41E9-A314-45F5B56BE1E4}" name="Province" dataDxfId="20"/>
    <tableColumn id="5" xr3:uid="{D8A45772-05F1-4B29-A182-D172B44BF4AF}" name="Quantity (tons)" dataDxfId="19"/>
    <tableColumn id="6" xr3:uid="{30051ECE-317E-49B8-9D49-07A6000194E0}" name="Moisture (%)" dataDxfId="18"/>
    <tableColumn id="7" xr3:uid="{78D8BFC6-CF2C-4B2E-9ABC-7C1D3B8F5D14}" name="Broken Kernels (%)" dataDxfId="17"/>
    <tableColumn id="8" xr3:uid="{DE2975B6-F6D0-4714-A024-DADB110D996E}" name="Discoloured (%)" dataDxfId="16"/>
    <tableColumn id="9" xr3:uid="{DE49A4A8-16C1-4E87-8A8C-AAFB99649875}" name="Foreign Matter (%)" dataDxfId="15"/>
    <tableColumn id="10" xr3:uid="{A8AB0DF0-195C-4388-AE0D-65193B9109E6}" name="Mouldy (%)" dataDxfId="14"/>
    <tableColumn id="11" xr3:uid="{AA023FEB-2810-4AC4-BF7E-BF80FDCD403D}" name="Insect Damage (%)" dataDxfId="13"/>
    <tableColumn id="12" xr3:uid="{BEF2BC22-B79E-4B56-B23F-AF1EA1F73657}" name="Aflatoxin (ppb)" dataDxfId="12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E24C59-644C-44AA-802C-1104E127A75D}" name="Table2" displayName="Table2" ref="C26:F33" totalsRowShown="0" headerRowDxfId="11" headerRowBorderDxfId="10" tableBorderDxfId="9">
  <autoFilter ref="C26:F33" xr:uid="{B7E24C59-644C-44AA-802C-1104E127A75D}"/>
  <tableColumns count="4">
    <tableColumn id="1" xr3:uid="{CD1B5736-FD88-46E5-8438-12AADCCCD91C}" name="Parameter" dataDxfId="8"/>
    <tableColumn id="2" xr3:uid="{3B90DDF4-47EA-4F07-9B5D-CADEB58E902D}" name="Acceptable" dataDxfId="7"/>
    <tableColumn id="3" xr3:uid="{5AD1D2BA-1DBA-4F3E-AD86-87B325A25CCF}" name="Borderline" dataDxfId="6"/>
    <tableColumn id="4" xr3:uid="{E21E4E4B-B60B-422B-BC9B-EB99E28EE93C}" name="Reject" dataDxfId="5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 /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7D3E-DA41-4706-900A-74189B616DA5}">
  <dimension ref="A1:L43"/>
  <sheetViews>
    <sheetView showGridLines="0" tabSelected="1" topLeftCell="E1" zoomScale="80" zoomScaleNormal="80" workbookViewId="0">
      <selection activeCell="C43" sqref="C43"/>
    </sheetView>
  </sheetViews>
  <sheetFormatPr defaultRowHeight="15" x14ac:dyDescent="0.2"/>
  <cols>
    <col min="4" max="4" width="14.796875" bestFit="1" customWidth="1"/>
  </cols>
  <sheetData>
    <row r="1" spans="1:12" x14ac:dyDescent="0.2">
      <c r="A1" t="s">
        <v>0</v>
      </c>
    </row>
    <row r="3" spans="1:12" ht="19.5" x14ac:dyDescent="0.2">
      <c r="C3" s="56" t="s">
        <v>187</v>
      </c>
      <c r="D3" s="56"/>
      <c r="E3" s="56"/>
      <c r="F3" s="56"/>
      <c r="G3" s="93" t="s">
        <v>204</v>
      </c>
      <c r="H3" s="93"/>
      <c r="I3" s="93"/>
      <c r="J3" s="93"/>
    </row>
    <row r="4" spans="1:12" ht="15.75" thickBot="1" x14ac:dyDescent="0.25"/>
    <row r="5" spans="1:12" ht="33" customHeight="1" x14ac:dyDescent="0.2">
      <c r="C5" s="57" t="s">
        <v>188</v>
      </c>
      <c r="D5" s="58">
        <f>COUNTA([1]Intake_log!C4:C18)</f>
        <v>15</v>
      </c>
    </row>
    <row r="6" spans="1:12" ht="27" x14ac:dyDescent="0.2">
      <c r="C6" s="59" t="s">
        <v>189</v>
      </c>
      <c r="D6" s="60">
        <f>COUNTIF(Intake_log!W4:W18,"ACCEPT")</f>
        <v>8</v>
      </c>
    </row>
    <row r="7" spans="1:12" ht="27" x14ac:dyDescent="0.2">
      <c r="C7" s="61" t="s">
        <v>190</v>
      </c>
      <c r="D7" s="62">
        <f>COUNTIF(Intake_log!W4:W18,"REJECT")</f>
        <v>7</v>
      </c>
    </row>
    <row r="8" spans="1:12" ht="27.75" thickBot="1" x14ac:dyDescent="0.25">
      <c r="C8" s="63" t="s">
        <v>191</v>
      </c>
      <c r="D8" s="64">
        <f>AVERAGE(Intake_log!H4:H18)</f>
        <v>12.733333333333333</v>
      </c>
    </row>
    <row r="11" spans="1:12" ht="17.25" x14ac:dyDescent="0.2">
      <c r="D11" s="94" t="s">
        <v>202</v>
      </c>
      <c r="E11" s="94"/>
      <c r="F11" s="94"/>
    </row>
    <row r="12" spans="1:12" ht="15.75" thickBot="1" x14ac:dyDescent="0.25">
      <c r="I12" s="77"/>
      <c r="J12" s="77"/>
      <c r="K12" s="77"/>
      <c r="L12" s="77"/>
    </row>
    <row r="13" spans="1:12" ht="28.5" thickBot="1" x14ac:dyDescent="0.25">
      <c r="C13" s="73" t="s">
        <v>192</v>
      </c>
      <c r="D13" s="74" t="s">
        <v>193</v>
      </c>
      <c r="E13" s="75" t="s">
        <v>5</v>
      </c>
      <c r="F13" s="75" t="s">
        <v>194</v>
      </c>
      <c r="G13" s="76" t="s">
        <v>167</v>
      </c>
      <c r="I13" s="77"/>
      <c r="L13" s="77"/>
    </row>
    <row r="14" spans="1:12" x14ac:dyDescent="0.2">
      <c r="C14" s="29" t="str">
        <f>INDEX(Risk_Scoring!$C$4:$C$18,MATCH(F14,Risk_Scoring!$F$4:$F$18,0))</f>
        <v>B010</v>
      </c>
      <c r="D14" s="42" t="str">
        <f>INDEX(Risk_Scoring!$D$4:$D$18,MATCH(F14,Risk_Scoring!$F$4:$F$18,0))</f>
        <v>Maria Sekgobela</v>
      </c>
      <c r="E14" s="55" t="str">
        <f>INDEX(Risk_Scoring!$E$4:$E$18,MATCH(F14,Risk_Scoring!$F$4:$F$18,0))</f>
        <v>Limpopo</v>
      </c>
      <c r="F14" s="42">
        <f>LARGE(Risk_Scoring!$F$4:$F$18,1)</f>
        <v>14</v>
      </c>
      <c r="G14" s="30" t="str">
        <f>INDEX(Risk_Scoring!$G$4:$G$18,MATCH(F14,Risk_Scoring!$F$4:$F$18,0))</f>
        <v>REJECT</v>
      </c>
      <c r="I14" s="77"/>
      <c r="L14" s="77"/>
    </row>
    <row r="15" spans="1:12" x14ac:dyDescent="0.2">
      <c r="C15" s="70" t="str">
        <f>INDEX(Risk_Scoring!$C$4:$C$18,MATCH(F15,Risk_Scoring!$F$4:$F$18,0))</f>
        <v>B004</v>
      </c>
      <c r="D15" s="69" t="str">
        <f>INDEX(Risk_Scoring!$D$4:$D$18,MATCH(F15,Risk_Scoring!$F$4:$F$18,0))</f>
        <v>Thembi Mokoena</v>
      </c>
      <c r="E15" s="68" t="str">
        <f>INDEX(Risk_Scoring!$E$4:$E$18,MATCH(F15,Risk_Scoring!$F$4:$F$18,0))</f>
        <v>Limpopo</v>
      </c>
      <c r="F15" s="65">
        <f>LARGE(Risk_Scoring!$F$4:$F$18,2)</f>
        <v>13</v>
      </c>
      <c r="G15" s="24" t="str">
        <f>INDEX(Risk_Scoring!$G$4:$G$18,MATCH(F15,Risk_Scoring!$F$4:$F$18,1))</f>
        <v>REJECT</v>
      </c>
      <c r="I15" s="77"/>
      <c r="L15" s="77"/>
    </row>
    <row r="16" spans="1:12" x14ac:dyDescent="0.2">
      <c r="C16" s="70" t="str">
        <f>INDEX(Risk_Scoring!$C$4:$C$18,MATCH(F16,Risk_Scoring!$F$4:$F$18,0))</f>
        <v>B015</v>
      </c>
      <c r="D16" s="65" t="str">
        <f>INDEX(Risk_Scoring!$D$4:$D$18,MATCH(F16,Risk_Scoring!$F$4:$F$18,0))</f>
        <v>Bongani Ntuli</v>
      </c>
      <c r="E16" s="68" t="str">
        <f>INDEX(Risk_Scoring!$E$4:$E$18,MATCH(F16,Risk_Scoring!$F$4:$F$18,0))</f>
        <v>Gauteng</v>
      </c>
      <c r="F16" s="65">
        <f>LARGE(Risk_Scoring!$F$4:$F$18,3)</f>
        <v>10</v>
      </c>
      <c r="G16" s="24" t="str">
        <f>INDEX(Risk_Scoring!$G$4:$G$18,MATCH(F16,Risk_Scoring!$F$4:$F$18,2))</f>
        <v>REJECT</v>
      </c>
      <c r="I16" s="77"/>
      <c r="J16" s="78"/>
      <c r="K16" s="78"/>
      <c r="L16" s="77"/>
    </row>
    <row r="17" spans="3:7" ht="27.75" x14ac:dyDescent="0.2">
      <c r="C17" s="70" t="str">
        <f>INDEX(Risk_Scoring!$C$4:$C$18,MATCH(F17,Risk_Scoring!$F$4:$F$18,0))</f>
        <v>B012</v>
      </c>
      <c r="D17" s="65" t="str">
        <f>INDEX(Risk_Scoring!$D$4:$D$18,MATCH(F17,Risk_Scoring!$F$4:$F$18,0))</f>
        <v>Precious Mahlangu</v>
      </c>
      <c r="E17" s="68" t="str">
        <f>INDEX(Risk_Scoring!$E$4:$E$18,MATCH(F17,Risk_Scoring!$F$4:$F$18,0))</f>
        <v>Mpumalanga</v>
      </c>
      <c r="F17" s="65">
        <f>LARGE(Risk_Scoring!$F$4:$F$18,4)</f>
        <v>8</v>
      </c>
      <c r="G17" s="24" t="str">
        <f>INDEX(Risk_Scoring!$G$4:$G$18,MATCH(F17,Risk_Scoring!$F$4:$F$18,3))</f>
        <v>REJECT</v>
      </c>
    </row>
    <row r="18" spans="3:7" ht="28.5" thickBot="1" x14ac:dyDescent="0.25">
      <c r="C18" s="28" t="str">
        <f>INDEX(Risk_Scoring!$C$4:$C$18,MATCH(F18,Risk_Scoring!$F$4:$F$18,0))</f>
        <v>B002</v>
      </c>
      <c r="D18" s="71" t="str">
        <f>INDEX(Risk_Scoring!$D$4:$D$18,MATCH(F18,Risk_Scoring!$F$4:$F$18,0))</f>
        <v>Nomsa Khumalo</v>
      </c>
      <c r="E18" s="72" t="str">
        <f>INDEX(Risk_Scoring!$E$4:$E$18,MATCH(F18,Risk_Scoring!$F$4:$F$18,0))</f>
        <v>KwaZulu-Natal</v>
      </c>
      <c r="F18" s="71">
        <f>LARGE(Risk_Scoring!$F$4:$F$18,5)</f>
        <v>7</v>
      </c>
      <c r="G18" s="26" t="str">
        <f>INDEX(Risk_Scoring!$G$4:$G$18,MATCH(F18,Risk_Scoring!$F$4:$F$18,0))</f>
        <v>REJECT</v>
      </c>
    </row>
    <row r="40" spans="3:9" ht="17.25" x14ac:dyDescent="0.2">
      <c r="D40" s="95" t="s">
        <v>203</v>
      </c>
      <c r="E40" s="95"/>
      <c r="F40" s="95"/>
    </row>
    <row r="41" spans="3:9" ht="18" thickBot="1" x14ac:dyDescent="0.25">
      <c r="C41" s="86"/>
      <c r="D41" s="86"/>
      <c r="E41" s="86"/>
      <c r="F41" s="86"/>
      <c r="G41" s="86"/>
      <c r="H41" s="86"/>
      <c r="I41" s="86"/>
    </row>
    <row r="42" spans="3:9" ht="33.75" thickBot="1" x14ac:dyDescent="0.25">
      <c r="C42" s="88" t="s">
        <v>200</v>
      </c>
      <c r="D42" s="89" t="s">
        <v>192</v>
      </c>
      <c r="E42" s="89" t="s">
        <v>5</v>
      </c>
      <c r="F42" s="90" t="s">
        <v>6</v>
      </c>
      <c r="G42" s="90" t="s">
        <v>7</v>
      </c>
      <c r="H42" s="90" t="s">
        <v>201</v>
      </c>
      <c r="I42" s="91" t="s">
        <v>167</v>
      </c>
    </row>
    <row r="43" spans="3:9" ht="28.5" thickBot="1" x14ac:dyDescent="0.25">
      <c r="C43" s="87" t="s">
        <v>82</v>
      </c>
      <c r="D43" s="48" t="str">
        <f>INDEX(Intake_log!$C$4:$C$18,MATCH(C43,Intake_log!$D$4:$D$18,0))</f>
        <v>B008</v>
      </c>
      <c r="E43" s="92" t="str">
        <f>INDEX(Intake_log!$F$4:$F$18,MATCH(C43,Intake_log!$D$4:$D$18,0))</f>
        <v>KwaZulu-Natal</v>
      </c>
      <c r="F43" s="48">
        <f>INDEX(Intake_log!$G$4:$G$18,MATCH(C43,Intake_log!$D$4:$D$18,0))</f>
        <v>7.5</v>
      </c>
      <c r="G43" s="48">
        <f>INDEX(Intake_log!$H$4:$H$18,MATCH(C43,Intake_log!$D$4:$D$18,0))</f>
        <v>12.8</v>
      </c>
      <c r="H43" s="48">
        <f>INDEX(Intake_log!$V$4:$V$18,MATCH(C43,Intake_log!$D$4:$D$18,0))</f>
        <v>6</v>
      </c>
      <c r="I43" s="43" t="str">
        <f>INDEX(Intake_log!$W$4:$W$18,MATCH(C43,Intake_log!$D$4:$D$18,0))</f>
        <v>REJECT</v>
      </c>
    </row>
  </sheetData>
  <mergeCells count="3">
    <mergeCell ref="G3:J3"/>
    <mergeCell ref="D11:F11"/>
    <mergeCell ref="D40:F40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916AA5-C3C7-4284-AE49-E97081980313}">
          <x14:formula1>
            <xm:f>Intake_log!$D$4:$D$18</xm:f>
          </x14:formula1>
          <xm:sqref>C43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9808-3CF9-4739-BFEA-6FC63DCC4A16}">
  <dimension ref="C2:W18"/>
  <sheetViews>
    <sheetView showGridLines="0" topLeftCell="E1" zoomScale="91" zoomScaleNormal="91" workbookViewId="0">
      <selection activeCell="V4" sqref="V4"/>
    </sheetView>
  </sheetViews>
  <sheetFormatPr defaultRowHeight="15" x14ac:dyDescent="0.2"/>
  <cols>
    <col min="18" max="18" width="9.28125" customWidth="1"/>
  </cols>
  <sheetData>
    <row r="2" spans="3:23" ht="15.75" thickBot="1" x14ac:dyDescent="0.25"/>
    <row r="3" spans="3:23" ht="42" thickBot="1" x14ac:dyDescent="0.25">
      <c r="C3" s="45" t="s">
        <v>2</v>
      </c>
      <c r="D3" s="46" t="s">
        <v>3</v>
      </c>
      <c r="E3" s="46" t="s">
        <v>175</v>
      </c>
      <c r="F3" s="46" t="s">
        <v>5</v>
      </c>
      <c r="G3" s="46" t="s">
        <v>6</v>
      </c>
      <c r="H3" s="46" t="s">
        <v>7</v>
      </c>
      <c r="I3" s="46" t="s">
        <v>8</v>
      </c>
      <c r="J3" s="46" t="s">
        <v>9</v>
      </c>
      <c r="K3" s="46" t="s">
        <v>10</v>
      </c>
      <c r="L3" s="46" t="s">
        <v>11</v>
      </c>
      <c r="M3" s="46" t="s">
        <v>12</v>
      </c>
      <c r="N3" s="46" t="s">
        <v>13</v>
      </c>
      <c r="O3" s="46" t="s">
        <v>176</v>
      </c>
      <c r="P3" s="46" t="s">
        <v>177</v>
      </c>
      <c r="Q3" s="46" t="s">
        <v>178</v>
      </c>
      <c r="R3" s="46" t="s">
        <v>179</v>
      </c>
      <c r="S3" s="46" t="s">
        <v>180</v>
      </c>
      <c r="T3" s="46" t="s">
        <v>181</v>
      </c>
      <c r="U3" s="46" t="s">
        <v>182</v>
      </c>
      <c r="V3" s="46" t="s">
        <v>183</v>
      </c>
      <c r="W3" s="47" t="s">
        <v>167</v>
      </c>
    </row>
    <row r="4" spans="3:23" ht="27.75" x14ac:dyDescent="0.2">
      <c r="C4" s="41" t="s">
        <v>14</v>
      </c>
      <c r="D4" s="3" t="s">
        <v>15</v>
      </c>
      <c r="E4" s="3" t="s">
        <v>16</v>
      </c>
      <c r="F4" s="3" t="s">
        <v>17</v>
      </c>
      <c r="G4" s="4">
        <v>12.5</v>
      </c>
      <c r="H4" s="4">
        <v>11.8</v>
      </c>
      <c r="I4" s="4">
        <v>2.1</v>
      </c>
      <c r="J4" s="4">
        <v>1.8</v>
      </c>
      <c r="K4" s="4">
        <v>0.6</v>
      </c>
      <c r="L4" s="4">
        <v>0.4</v>
      </c>
      <c r="M4" s="4">
        <v>0.8</v>
      </c>
      <c r="N4" s="4">
        <v>8</v>
      </c>
      <c r="O4" s="42">
        <f>IF(H4&lt;12.5,0,IF(H4&lt;=14,1,2))</f>
        <v>0</v>
      </c>
      <c r="P4" s="42">
        <f>IF(I4&lt;3,0,IF(I4&lt;=6,1,2))</f>
        <v>0</v>
      </c>
      <c r="Q4" s="42">
        <f>IF(J4&lt;3,0,IF(J4&lt;=5,1,2))</f>
        <v>0</v>
      </c>
      <c r="R4" s="42">
        <f>IF(K4&lt;1,0,IF(K4&lt;=2,1,2))</f>
        <v>0</v>
      </c>
      <c r="S4" s="42">
        <f>IF(L4&lt;1,0,IF(L4&lt;=3,1,2))</f>
        <v>0</v>
      </c>
      <c r="T4" s="42">
        <f>IF(M4&lt;1,0,IF(M4&lt;=2.5,1,2))</f>
        <v>0</v>
      </c>
      <c r="U4" s="42">
        <f>IF(N4&lt;10,0,IF(N4&lt;=20,1,2))</f>
        <v>0</v>
      </c>
      <c r="V4" s="42">
        <f>SUM(O4:U4)</f>
        <v>0</v>
      </c>
      <c r="W4" s="49" t="str">
        <f>IF(V4&lt;=2,"ACCEPT",IF(V4&lt;=5,"CONDITIONAL","REJECT"))</f>
        <v>ACCEPT</v>
      </c>
    </row>
    <row r="5" spans="3:23" ht="27.75" x14ac:dyDescent="0.2">
      <c r="C5" s="37" t="s">
        <v>25</v>
      </c>
      <c r="D5" s="2" t="s">
        <v>26</v>
      </c>
      <c r="E5" s="2" t="s">
        <v>27</v>
      </c>
      <c r="F5" s="2" t="s">
        <v>28</v>
      </c>
      <c r="G5" s="5">
        <v>8</v>
      </c>
      <c r="H5" s="5">
        <v>13.2</v>
      </c>
      <c r="I5" s="5">
        <v>4.5</v>
      </c>
      <c r="J5" s="5">
        <v>3.8</v>
      </c>
      <c r="K5" s="5">
        <v>1.4</v>
      </c>
      <c r="L5" s="5">
        <v>1.1000000000000001</v>
      </c>
      <c r="M5" s="5">
        <v>1.3</v>
      </c>
      <c r="N5" s="5">
        <v>12</v>
      </c>
      <c r="O5" s="42">
        <f t="shared" ref="O5:O18" si="0">IF(H5&lt;12.5,0,IF(H5&lt;=14,1,2))</f>
        <v>1</v>
      </c>
      <c r="P5" s="42">
        <f t="shared" ref="P5:P18" si="1">IF(I5&lt;3,0,IF(I5&lt;=6,1,2))</f>
        <v>1</v>
      </c>
      <c r="Q5" s="42">
        <f t="shared" ref="Q5:Q18" si="2">IF(J5&lt;3,0,IF(J5&lt;=5,1,2))</f>
        <v>1</v>
      </c>
      <c r="R5" s="42">
        <f t="shared" ref="R5:R18" si="3">IF(K5&lt;1,0,IF(K5&lt;=2,1,2))</f>
        <v>1</v>
      </c>
      <c r="S5" s="42">
        <f t="shared" ref="S5:S18" si="4">IF(L5&lt;1,0,IF(L5&lt;=3,1,2))</f>
        <v>1</v>
      </c>
      <c r="T5" s="42">
        <f t="shared" ref="T5:T18" si="5">IF(M5&lt;1,0,IF(M5&lt;=2.5,1,2))</f>
        <v>1</v>
      </c>
      <c r="U5" s="42">
        <f t="shared" ref="U5:U18" si="6">IF(N5&lt;10,0,IF(N5&lt;=20,1,2))</f>
        <v>1</v>
      </c>
      <c r="V5" s="42">
        <f t="shared" ref="V5:V18" si="7">SUM(O5:U5)</f>
        <v>7</v>
      </c>
      <c r="W5" s="49" t="str">
        <f t="shared" ref="W5:W18" si="8">IF(V5&lt;=2,"ACCEPT",IF(V5&lt;=5,"CONDITIONAL","REJECT"))</f>
        <v>REJECT</v>
      </c>
    </row>
    <row r="6" spans="3:23" ht="27.75" x14ac:dyDescent="0.2">
      <c r="C6" s="37" t="s">
        <v>36</v>
      </c>
      <c r="D6" s="2" t="s">
        <v>37</v>
      </c>
      <c r="E6" s="2" t="s">
        <v>38</v>
      </c>
      <c r="F6" s="2" t="s">
        <v>39</v>
      </c>
      <c r="G6" s="5">
        <v>20</v>
      </c>
      <c r="H6" s="5">
        <v>11.2</v>
      </c>
      <c r="I6" s="5">
        <v>1.8</v>
      </c>
      <c r="J6" s="5">
        <v>2.1</v>
      </c>
      <c r="K6" s="5">
        <v>0.5</v>
      </c>
      <c r="L6" s="5">
        <v>0.3</v>
      </c>
      <c r="M6" s="5">
        <v>0.6</v>
      </c>
      <c r="N6" s="5">
        <v>7</v>
      </c>
      <c r="O6" s="42">
        <f t="shared" si="0"/>
        <v>0</v>
      </c>
      <c r="P6" s="42">
        <f t="shared" si="1"/>
        <v>0</v>
      </c>
      <c r="Q6" s="42">
        <f t="shared" si="2"/>
        <v>0</v>
      </c>
      <c r="R6" s="42">
        <f t="shared" si="3"/>
        <v>0</v>
      </c>
      <c r="S6" s="42">
        <f t="shared" si="4"/>
        <v>0</v>
      </c>
      <c r="T6" s="42">
        <f t="shared" si="5"/>
        <v>0</v>
      </c>
      <c r="U6" s="42">
        <f t="shared" si="6"/>
        <v>0</v>
      </c>
      <c r="V6" s="42">
        <f t="shared" si="7"/>
        <v>0</v>
      </c>
      <c r="W6" s="49" t="str">
        <f t="shared" si="8"/>
        <v>ACCEPT</v>
      </c>
    </row>
    <row r="7" spans="3:23" ht="27.75" x14ac:dyDescent="0.2">
      <c r="C7" s="37" t="s">
        <v>44</v>
      </c>
      <c r="D7" s="2" t="s">
        <v>45</v>
      </c>
      <c r="E7" s="2" t="s">
        <v>46</v>
      </c>
      <c r="F7" s="2" t="s">
        <v>47</v>
      </c>
      <c r="G7" s="5">
        <v>6.5</v>
      </c>
      <c r="H7" s="5">
        <v>14.8</v>
      </c>
      <c r="I7" s="5">
        <v>7.2</v>
      </c>
      <c r="J7" s="5">
        <v>5.6</v>
      </c>
      <c r="K7" s="5">
        <v>2.2999999999999998</v>
      </c>
      <c r="L7" s="5">
        <v>3.2</v>
      </c>
      <c r="M7" s="5">
        <v>2.1</v>
      </c>
      <c r="N7" s="5">
        <v>22</v>
      </c>
      <c r="O7" s="42">
        <f t="shared" si="0"/>
        <v>2</v>
      </c>
      <c r="P7" s="42">
        <f t="shared" si="1"/>
        <v>2</v>
      </c>
      <c r="Q7" s="42">
        <f t="shared" si="2"/>
        <v>2</v>
      </c>
      <c r="R7" s="42">
        <f t="shared" si="3"/>
        <v>2</v>
      </c>
      <c r="S7" s="42">
        <f t="shared" si="4"/>
        <v>2</v>
      </c>
      <c r="T7" s="42">
        <f t="shared" si="5"/>
        <v>1</v>
      </c>
      <c r="U7" s="42">
        <f t="shared" si="6"/>
        <v>2</v>
      </c>
      <c r="V7" s="42">
        <f t="shared" si="7"/>
        <v>13</v>
      </c>
      <c r="W7" s="49" t="str">
        <f t="shared" si="8"/>
        <v>REJECT</v>
      </c>
    </row>
    <row r="8" spans="3:23" ht="27.75" x14ac:dyDescent="0.2">
      <c r="C8" s="37" t="s">
        <v>54</v>
      </c>
      <c r="D8" s="2" t="s">
        <v>55</v>
      </c>
      <c r="E8" s="2" t="s">
        <v>56</v>
      </c>
      <c r="F8" s="2" t="s">
        <v>17</v>
      </c>
      <c r="G8" s="5">
        <v>15</v>
      </c>
      <c r="H8" s="5">
        <v>12.1</v>
      </c>
      <c r="I8" s="5">
        <v>2.8</v>
      </c>
      <c r="J8" s="5">
        <v>2.4</v>
      </c>
      <c r="K8" s="5">
        <v>0.9</v>
      </c>
      <c r="L8" s="5">
        <v>0.7</v>
      </c>
      <c r="M8" s="5">
        <v>1</v>
      </c>
      <c r="N8" s="5">
        <v>9</v>
      </c>
      <c r="O8" s="42">
        <f t="shared" si="0"/>
        <v>0</v>
      </c>
      <c r="P8" s="42">
        <f t="shared" si="1"/>
        <v>0</v>
      </c>
      <c r="Q8" s="42">
        <f t="shared" si="2"/>
        <v>0</v>
      </c>
      <c r="R8" s="42">
        <f t="shared" si="3"/>
        <v>0</v>
      </c>
      <c r="S8" s="42">
        <f t="shared" si="4"/>
        <v>0</v>
      </c>
      <c r="T8" s="42">
        <f t="shared" si="5"/>
        <v>1</v>
      </c>
      <c r="U8" s="42">
        <f t="shared" si="6"/>
        <v>0</v>
      </c>
      <c r="V8" s="42">
        <f t="shared" si="7"/>
        <v>1</v>
      </c>
      <c r="W8" s="49" t="str">
        <f t="shared" si="8"/>
        <v>ACCEPT</v>
      </c>
    </row>
    <row r="9" spans="3:23" ht="27.75" x14ac:dyDescent="0.2">
      <c r="C9" s="37" t="s">
        <v>64</v>
      </c>
      <c r="D9" s="2" t="s">
        <v>65</v>
      </c>
      <c r="E9" s="2" t="s">
        <v>66</v>
      </c>
      <c r="F9" s="2" t="s">
        <v>67</v>
      </c>
      <c r="G9" s="5">
        <v>9</v>
      </c>
      <c r="H9" s="5">
        <v>13.8</v>
      </c>
      <c r="I9" s="5">
        <v>5.0999999999999996</v>
      </c>
      <c r="J9" s="5">
        <v>4.2</v>
      </c>
      <c r="K9" s="5">
        <v>1.8</v>
      </c>
      <c r="L9" s="5">
        <v>2.1</v>
      </c>
      <c r="M9" s="5">
        <v>1.6</v>
      </c>
      <c r="N9" s="5">
        <v>18</v>
      </c>
      <c r="O9" s="42">
        <f t="shared" si="0"/>
        <v>1</v>
      </c>
      <c r="P9" s="42">
        <f t="shared" si="1"/>
        <v>1</v>
      </c>
      <c r="Q9" s="42">
        <f t="shared" si="2"/>
        <v>1</v>
      </c>
      <c r="R9" s="42">
        <f t="shared" si="3"/>
        <v>1</v>
      </c>
      <c r="S9" s="42">
        <f t="shared" si="4"/>
        <v>1</v>
      </c>
      <c r="T9" s="42">
        <f t="shared" si="5"/>
        <v>1</v>
      </c>
      <c r="U9" s="42">
        <f t="shared" si="6"/>
        <v>1</v>
      </c>
      <c r="V9" s="42">
        <f t="shared" si="7"/>
        <v>7</v>
      </c>
      <c r="W9" s="49" t="str">
        <f t="shared" si="8"/>
        <v>REJECT</v>
      </c>
    </row>
    <row r="10" spans="3:23" ht="27.75" x14ac:dyDescent="0.2">
      <c r="C10" s="37" t="s">
        <v>73</v>
      </c>
      <c r="D10" s="2" t="s">
        <v>74</v>
      </c>
      <c r="E10" s="2" t="s">
        <v>75</v>
      </c>
      <c r="F10" s="2" t="s">
        <v>76</v>
      </c>
      <c r="G10" s="5">
        <v>18.5</v>
      </c>
      <c r="H10" s="5">
        <v>11.5</v>
      </c>
      <c r="I10" s="5">
        <v>1.5</v>
      </c>
      <c r="J10" s="5">
        <v>1.9</v>
      </c>
      <c r="K10" s="5">
        <v>0.4</v>
      </c>
      <c r="L10" s="5">
        <v>0.3</v>
      </c>
      <c r="M10" s="5">
        <v>0.5</v>
      </c>
      <c r="N10" s="5">
        <v>6</v>
      </c>
      <c r="O10" s="42">
        <f t="shared" si="0"/>
        <v>0</v>
      </c>
      <c r="P10" s="42">
        <f t="shared" si="1"/>
        <v>0</v>
      </c>
      <c r="Q10" s="42">
        <f t="shared" si="2"/>
        <v>0</v>
      </c>
      <c r="R10" s="42">
        <f t="shared" si="3"/>
        <v>0</v>
      </c>
      <c r="S10" s="42">
        <f t="shared" si="4"/>
        <v>0</v>
      </c>
      <c r="T10" s="42">
        <f t="shared" si="5"/>
        <v>0</v>
      </c>
      <c r="U10" s="42">
        <f t="shared" si="6"/>
        <v>0</v>
      </c>
      <c r="V10" s="42">
        <f t="shared" si="7"/>
        <v>0</v>
      </c>
      <c r="W10" s="49" t="str">
        <f t="shared" si="8"/>
        <v>ACCEPT</v>
      </c>
    </row>
    <row r="11" spans="3:23" ht="27.75" x14ac:dyDescent="0.2">
      <c r="C11" s="37" t="s">
        <v>81</v>
      </c>
      <c r="D11" s="2" t="s">
        <v>82</v>
      </c>
      <c r="E11" s="2" t="s">
        <v>83</v>
      </c>
      <c r="F11" s="2" t="s">
        <v>28</v>
      </c>
      <c r="G11" s="5">
        <v>7.5</v>
      </c>
      <c r="H11" s="5">
        <v>12.8</v>
      </c>
      <c r="I11" s="5">
        <v>3.6</v>
      </c>
      <c r="J11" s="5">
        <v>3.1</v>
      </c>
      <c r="K11" s="5">
        <v>1.2</v>
      </c>
      <c r="L11" s="5">
        <v>0.9</v>
      </c>
      <c r="M11" s="5">
        <v>1.1000000000000001</v>
      </c>
      <c r="N11" s="5">
        <v>11</v>
      </c>
      <c r="O11" s="42">
        <f t="shared" si="0"/>
        <v>1</v>
      </c>
      <c r="P11" s="42">
        <f t="shared" si="1"/>
        <v>1</v>
      </c>
      <c r="Q11" s="42">
        <f t="shared" si="2"/>
        <v>1</v>
      </c>
      <c r="R11" s="42">
        <f t="shared" si="3"/>
        <v>1</v>
      </c>
      <c r="S11" s="42">
        <f t="shared" si="4"/>
        <v>0</v>
      </c>
      <c r="T11" s="42">
        <f t="shared" si="5"/>
        <v>1</v>
      </c>
      <c r="U11" s="42">
        <f t="shared" si="6"/>
        <v>1</v>
      </c>
      <c r="V11" s="42">
        <f t="shared" si="7"/>
        <v>6</v>
      </c>
      <c r="W11" s="49" t="str">
        <f t="shared" si="8"/>
        <v>REJECT</v>
      </c>
    </row>
    <row r="12" spans="3:23" ht="27.75" x14ac:dyDescent="0.2">
      <c r="C12" s="37" t="s">
        <v>89</v>
      </c>
      <c r="D12" s="2" t="s">
        <v>90</v>
      </c>
      <c r="E12" s="2" t="s">
        <v>91</v>
      </c>
      <c r="F12" s="2" t="s">
        <v>92</v>
      </c>
      <c r="G12" s="5">
        <v>11</v>
      </c>
      <c r="H12" s="5">
        <v>11.9</v>
      </c>
      <c r="I12" s="5">
        <v>2.2000000000000002</v>
      </c>
      <c r="J12" s="5">
        <v>2</v>
      </c>
      <c r="K12" s="5">
        <v>0.7</v>
      </c>
      <c r="L12" s="5">
        <v>0.5</v>
      </c>
      <c r="M12" s="5">
        <v>0.7</v>
      </c>
      <c r="N12" s="5">
        <v>8</v>
      </c>
      <c r="O12" s="42">
        <f t="shared" si="0"/>
        <v>0</v>
      </c>
      <c r="P12" s="42">
        <f t="shared" si="1"/>
        <v>0</v>
      </c>
      <c r="Q12" s="42">
        <f t="shared" si="2"/>
        <v>0</v>
      </c>
      <c r="R12" s="42">
        <f t="shared" si="3"/>
        <v>0</v>
      </c>
      <c r="S12" s="42">
        <f t="shared" si="4"/>
        <v>0</v>
      </c>
      <c r="T12" s="42">
        <f t="shared" si="5"/>
        <v>0</v>
      </c>
      <c r="U12" s="42">
        <f t="shared" si="6"/>
        <v>0</v>
      </c>
      <c r="V12" s="42">
        <f t="shared" si="7"/>
        <v>0</v>
      </c>
      <c r="W12" s="49" t="str">
        <f t="shared" si="8"/>
        <v>ACCEPT</v>
      </c>
    </row>
    <row r="13" spans="3:23" ht="41.25" x14ac:dyDescent="0.2">
      <c r="C13" s="37" t="s">
        <v>97</v>
      </c>
      <c r="D13" s="2" t="s">
        <v>98</v>
      </c>
      <c r="E13" s="2" t="s">
        <v>99</v>
      </c>
      <c r="F13" s="2" t="s">
        <v>47</v>
      </c>
      <c r="G13" s="5">
        <v>5.5</v>
      </c>
      <c r="H13" s="5">
        <v>15.2</v>
      </c>
      <c r="I13" s="5">
        <v>8.4</v>
      </c>
      <c r="J13" s="5">
        <v>6.1</v>
      </c>
      <c r="K13" s="5">
        <v>2.8</v>
      </c>
      <c r="L13" s="5">
        <v>3.8</v>
      </c>
      <c r="M13" s="5">
        <v>2.6</v>
      </c>
      <c r="N13" s="5">
        <v>25</v>
      </c>
      <c r="O13" s="42">
        <f t="shared" si="0"/>
        <v>2</v>
      </c>
      <c r="P13" s="42">
        <f t="shared" si="1"/>
        <v>2</v>
      </c>
      <c r="Q13" s="42">
        <f t="shared" si="2"/>
        <v>2</v>
      </c>
      <c r="R13" s="42">
        <f t="shared" si="3"/>
        <v>2</v>
      </c>
      <c r="S13" s="42">
        <f t="shared" si="4"/>
        <v>2</v>
      </c>
      <c r="T13" s="42">
        <f t="shared" si="5"/>
        <v>2</v>
      </c>
      <c r="U13" s="42">
        <f t="shared" si="6"/>
        <v>2</v>
      </c>
      <c r="V13" s="42">
        <f t="shared" si="7"/>
        <v>14</v>
      </c>
      <c r="W13" s="49" t="str">
        <f t="shared" si="8"/>
        <v>REJECT</v>
      </c>
    </row>
    <row r="14" spans="3:23" ht="27.75" x14ac:dyDescent="0.2">
      <c r="C14" s="37" t="s">
        <v>105</v>
      </c>
      <c r="D14" s="2" t="s">
        <v>106</v>
      </c>
      <c r="E14" s="2" t="s">
        <v>107</v>
      </c>
      <c r="F14" s="2" t="s">
        <v>39</v>
      </c>
      <c r="G14" s="5">
        <v>22</v>
      </c>
      <c r="H14" s="5">
        <v>11.1</v>
      </c>
      <c r="I14" s="5">
        <v>1.6</v>
      </c>
      <c r="J14" s="5">
        <v>1.7</v>
      </c>
      <c r="K14" s="5">
        <v>0.5</v>
      </c>
      <c r="L14" s="5">
        <v>0.2</v>
      </c>
      <c r="M14" s="5">
        <v>0.4</v>
      </c>
      <c r="N14" s="5">
        <v>6</v>
      </c>
      <c r="O14" s="42">
        <f t="shared" si="0"/>
        <v>0</v>
      </c>
      <c r="P14" s="42">
        <f t="shared" si="1"/>
        <v>0</v>
      </c>
      <c r="Q14" s="42">
        <f t="shared" si="2"/>
        <v>0</v>
      </c>
      <c r="R14" s="42">
        <f t="shared" si="3"/>
        <v>0</v>
      </c>
      <c r="S14" s="42">
        <f t="shared" si="4"/>
        <v>0</v>
      </c>
      <c r="T14" s="42">
        <f t="shared" si="5"/>
        <v>0</v>
      </c>
      <c r="U14" s="42">
        <f t="shared" si="6"/>
        <v>0</v>
      </c>
      <c r="V14" s="42">
        <f t="shared" si="7"/>
        <v>0</v>
      </c>
      <c r="W14" s="49" t="str">
        <f t="shared" si="8"/>
        <v>ACCEPT</v>
      </c>
    </row>
    <row r="15" spans="3:23" ht="27.75" x14ac:dyDescent="0.2">
      <c r="C15" s="37" t="s">
        <v>112</v>
      </c>
      <c r="D15" s="2" t="s">
        <v>113</v>
      </c>
      <c r="E15" s="2" t="s">
        <v>114</v>
      </c>
      <c r="F15" s="2" t="s">
        <v>17</v>
      </c>
      <c r="G15" s="5">
        <v>8.5</v>
      </c>
      <c r="H15" s="5">
        <v>13.5</v>
      </c>
      <c r="I15" s="5">
        <v>4.8</v>
      </c>
      <c r="J15" s="5">
        <v>4</v>
      </c>
      <c r="K15" s="5">
        <v>1.6</v>
      </c>
      <c r="L15" s="5">
        <v>1.8</v>
      </c>
      <c r="M15" s="5">
        <v>1.5</v>
      </c>
      <c r="N15" s="5">
        <v>21</v>
      </c>
      <c r="O15" s="42">
        <f t="shared" si="0"/>
        <v>1</v>
      </c>
      <c r="P15" s="42">
        <f t="shared" si="1"/>
        <v>1</v>
      </c>
      <c r="Q15" s="42">
        <f t="shared" si="2"/>
        <v>1</v>
      </c>
      <c r="R15" s="42">
        <f t="shared" si="3"/>
        <v>1</v>
      </c>
      <c r="S15" s="42">
        <f t="shared" si="4"/>
        <v>1</v>
      </c>
      <c r="T15" s="42">
        <f t="shared" si="5"/>
        <v>1</v>
      </c>
      <c r="U15" s="42">
        <f t="shared" si="6"/>
        <v>2</v>
      </c>
      <c r="V15" s="42">
        <f t="shared" si="7"/>
        <v>8</v>
      </c>
      <c r="W15" s="49" t="str">
        <f t="shared" si="8"/>
        <v>REJECT</v>
      </c>
    </row>
    <row r="16" spans="3:23" ht="27.75" x14ac:dyDescent="0.2">
      <c r="C16" s="37" t="s">
        <v>119</v>
      </c>
      <c r="D16" s="2" t="s">
        <v>120</v>
      </c>
      <c r="E16" s="2" t="s">
        <v>121</v>
      </c>
      <c r="F16" s="2" t="s">
        <v>28</v>
      </c>
      <c r="G16" s="5">
        <v>14</v>
      </c>
      <c r="H16" s="5">
        <v>12.3</v>
      </c>
      <c r="I16" s="5">
        <v>2.5</v>
      </c>
      <c r="J16" s="5">
        <v>2.2000000000000002</v>
      </c>
      <c r="K16" s="5">
        <v>0.8</v>
      </c>
      <c r="L16" s="5">
        <v>0.6</v>
      </c>
      <c r="M16" s="5">
        <v>0.9</v>
      </c>
      <c r="N16" s="5">
        <v>9</v>
      </c>
      <c r="O16" s="42">
        <f t="shared" si="0"/>
        <v>0</v>
      </c>
      <c r="P16" s="42">
        <f t="shared" si="1"/>
        <v>0</v>
      </c>
      <c r="Q16" s="42">
        <f t="shared" si="2"/>
        <v>0</v>
      </c>
      <c r="R16" s="42">
        <f t="shared" si="3"/>
        <v>0</v>
      </c>
      <c r="S16" s="42">
        <f t="shared" si="4"/>
        <v>0</v>
      </c>
      <c r="T16" s="42">
        <f t="shared" si="5"/>
        <v>0</v>
      </c>
      <c r="U16" s="42">
        <f t="shared" si="6"/>
        <v>0</v>
      </c>
      <c r="V16" s="42">
        <f t="shared" si="7"/>
        <v>0</v>
      </c>
      <c r="W16" s="49" t="str">
        <f t="shared" si="8"/>
        <v>ACCEPT</v>
      </c>
    </row>
    <row r="17" spans="3:23" ht="27.75" x14ac:dyDescent="0.2">
      <c r="C17" s="37" t="s">
        <v>125</v>
      </c>
      <c r="D17" s="2" t="s">
        <v>126</v>
      </c>
      <c r="E17" s="2" t="s">
        <v>127</v>
      </c>
      <c r="F17" s="2" t="s">
        <v>76</v>
      </c>
      <c r="G17" s="5">
        <v>16.5</v>
      </c>
      <c r="H17" s="5">
        <v>11.7</v>
      </c>
      <c r="I17" s="5">
        <v>1.9</v>
      </c>
      <c r="J17" s="5">
        <v>2</v>
      </c>
      <c r="K17" s="5">
        <v>0.6</v>
      </c>
      <c r="L17" s="5">
        <v>0.4</v>
      </c>
      <c r="M17" s="5">
        <v>0.6</v>
      </c>
      <c r="N17" s="5">
        <v>7</v>
      </c>
      <c r="O17" s="42">
        <f t="shared" si="0"/>
        <v>0</v>
      </c>
      <c r="P17" s="42">
        <f t="shared" si="1"/>
        <v>0</v>
      </c>
      <c r="Q17" s="42">
        <f t="shared" si="2"/>
        <v>0</v>
      </c>
      <c r="R17" s="42">
        <f t="shared" si="3"/>
        <v>0</v>
      </c>
      <c r="S17" s="42">
        <f t="shared" si="4"/>
        <v>0</v>
      </c>
      <c r="T17" s="42">
        <f t="shared" si="5"/>
        <v>0</v>
      </c>
      <c r="U17" s="42">
        <f t="shared" si="6"/>
        <v>0</v>
      </c>
      <c r="V17" s="42">
        <f t="shared" si="7"/>
        <v>0</v>
      </c>
      <c r="W17" s="49" t="str">
        <f t="shared" si="8"/>
        <v>ACCEPT</v>
      </c>
    </row>
    <row r="18" spans="3:23" ht="28.5" thickBot="1" x14ac:dyDescent="0.25">
      <c r="C18" s="38" t="s">
        <v>130</v>
      </c>
      <c r="D18" s="39" t="s">
        <v>131</v>
      </c>
      <c r="E18" s="39" t="s">
        <v>132</v>
      </c>
      <c r="F18" s="39" t="s">
        <v>67</v>
      </c>
      <c r="G18" s="40">
        <v>10</v>
      </c>
      <c r="H18" s="40">
        <v>14.1</v>
      </c>
      <c r="I18" s="40">
        <v>6.3</v>
      </c>
      <c r="J18" s="40">
        <v>4.8</v>
      </c>
      <c r="K18" s="40">
        <v>2.1</v>
      </c>
      <c r="L18" s="40">
        <v>2.6</v>
      </c>
      <c r="M18" s="40">
        <v>1.9</v>
      </c>
      <c r="N18" s="40">
        <v>20</v>
      </c>
      <c r="O18" s="48">
        <f t="shared" si="0"/>
        <v>2</v>
      </c>
      <c r="P18" s="48">
        <f t="shared" si="1"/>
        <v>2</v>
      </c>
      <c r="Q18" s="48">
        <f t="shared" si="2"/>
        <v>1</v>
      </c>
      <c r="R18" s="48">
        <f t="shared" si="3"/>
        <v>2</v>
      </c>
      <c r="S18" s="48">
        <f t="shared" si="4"/>
        <v>1</v>
      </c>
      <c r="T18" s="48">
        <f t="shared" si="5"/>
        <v>1</v>
      </c>
      <c r="U18" s="48">
        <f t="shared" si="6"/>
        <v>1</v>
      </c>
      <c r="V18" s="48">
        <f t="shared" si="7"/>
        <v>10</v>
      </c>
      <c r="W18" s="49" t="str">
        <f t="shared" si="8"/>
        <v>REJECT</v>
      </c>
    </row>
  </sheetData>
  <sheetProtection algorithmName="SHA-512" hashValue="P35cHUa032FKccPI+PmlH0HmlB+M9z9xruC1jFnYEYEaJHUYDAIL5hJZkbsitg5F5pOgiTUGnaveKnZqycrfgw==" saltValue="Ngo/vysklfc460HqMztxEA==" spinCount="100000" sheet="1" objects="1" scenarios="1"/>
  <conditionalFormatting sqref="W4:W18">
    <cfRule type="containsText" dxfId="4" priority="1" operator="containsText" text="reject">
      <formula>NOT(ISERROR(SEARCH("reject",W4)))</formula>
    </cfRule>
    <cfRule type="containsText" dxfId="3" priority="2" operator="containsText" text="accept">
      <formula>NOT(ISERROR(SEARCH("accept",W4)))</formula>
    </cfRule>
    <cfRule type="cellIs" dxfId="2" priority="3" operator="equal">
      <formula>"accept"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5BEA-B471-41CE-8E6D-C8E18F38FE79}">
  <dimension ref="C2:H18"/>
  <sheetViews>
    <sheetView showGridLines="0" zoomScale="59" zoomScaleNormal="59" workbookViewId="0">
      <selection activeCell="J31" sqref="J31"/>
    </sheetView>
  </sheetViews>
  <sheetFormatPr defaultRowHeight="15" x14ac:dyDescent="0.2"/>
  <cols>
    <col min="6" max="7" width="9.14453125" style="44"/>
  </cols>
  <sheetData>
    <row r="2" spans="3:8" ht="15.75" thickBot="1" x14ac:dyDescent="0.25"/>
    <row r="3" spans="3:8" ht="28.5" thickBot="1" x14ac:dyDescent="0.25">
      <c r="C3" s="50" t="s">
        <v>184</v>
      </c>
      <c r="D3" s="51" t="s">
        <v>3</v>
      </c>
      <c r="E3" s="52" t="s">
        <v>5</v>
      </c>
      <c r="F3" s="51" t="s">
        <v>185</v>
      </c>
      <c r="G3" s="53" t="s">
        <v>167</v>
      </c>
      <c r="H3" s="54" t="s">
        <v>186</v>
      </c>
    </row>
    <row r="4" spans="3:8" ht="27.75" x14ac:dyDescent="0.2">
      <c r="C4" s="29" t="str">
        <f>Intake_log!C4</f>
        <v>B001</v>
      </c>
      <c r="D4" s="55" t="str">
        <f>Intake_log!D4</f>
        <v>Sipho Dlamini</v>
      </c>
      <c r="E4" s="55" t="str">
        <f>Intake_log!F4</f>
        <v>Mpumalanga</v>
      </c>
      <c r="F4" s="55">
        <f>Intake_log!V4</f>
        <v>0</v>
      </c>
      <c r="G4" s="55" t="str">
        <f>Intake_log!W4</f>
        <v>ACCEPT</v>
      </c>
      <c r="H4" s="30" t="str">
        <f>IF(F4&lt;=2,"LOW",IF(F4&lt;=5,"MEDIUM","HIGH"))</f>
        <v>LOW</v>
      </c>
    </row>
    <row r="5" spans="3:8" ht="27.75" x14ac:dyDescent="0.2">
      <c r="C5" s="29" t="str">
        <f>Intake_log!C5</f>
        <v>B002</v>
      </c>
      <c r="D5" s="55" t="str">
        <f>Intake_log!D5</f>
        <v>Nomsa Khumalo</v>
      </c>
      <c r="E5" s="55" t="str">
        <f>Intake_log!F5</f>
        <v>KwaZulu-Natal</v>
      </c>
      <c r="F5" s="55">
        <f>Intake_log!V5</f>
        <v>7</v>
      </c>
      <c r="G5" s="55" t="str">
        <f>Intake_log!W5</f>
        <v>REJECT</v>
      </c>
      <c r="H5" s="24" t="str">
        <f t="shared" ref="H5:H18" si="0">IF(F5&lt;=2,"LOW",IF(F5&lt;=5,"MEDIUM","HIGH"))</f>
        <v>HIGH</v>
      </c>
    </row>
    <row r="6" spans="3:8" ht="27.75" x14ac:dyDescent="0.2">
      <c r="C6" s="29" t="str">
        <f>Intake_log!C6</f>
        <v>B003</v>
      </c>
      <c r="D6" s="55" t="str">
        <f>Intake_log!D6</f>
        <v>Petrus van Wyk</v>
      </c>
      <c r="E6" s="55" t="str">
        <f>Intake_log!F6</f>
        <v>Free State</v>
      </c>
      <c r="F6" s="55">
        <f>Intake_log!V6</f>
        <v>0</v>
      </c>
      <c r="G6" s="55" t="str">
        <f>Intake_log!W6</f>
        <v>ACCEPT</v>
      </c>
      <c r="H6" s="24" t="str">
        <f t="shared" si="0"/>
        <v>LOW</v>
      </c>
    </row>
    <row r="7" spans="3:8" ht="27.75" x14ac:dyDescent="0.2">
      <c r="C7" s="29" t="str">
        <f>Intake_log!C7</f>
        <v>B004</v>
      </c>
      <c r="D7" s="55" t="str">
        <f>Intake_log!D7</f>
        <v>Thembi Mokoena</v>
      </c>
      <c r="E7" s="55" t="str">
        <f>Intake_log!F7</f>
        <v>Limpopo</v>
      </c>
      <c r="F7" s="55">
        <f>Intake_log!V7</f>
        <v>13</v>
      </c>
      <c r="G7" s="55" t="str">
        <f>Intake_log!W7</f>
        <v>REJECT</v>
      </c>
      <c r="H7" s="24" t="str">
        <f t="shared" si="0"/>
        <v>HIGH</v>
      </c>
    </row>
    <row r="8" spans="3:8" ht="27.75" x14ac:dyDescent="0.2">
      <c r="C8" s="29" t="str">
        <f>Intake_log!C8</f>
        <v>B005</v>
      </c>
      <c r="D8" s="55" t="str">
        <f>Intake_log!D8</f>
        <v>Johannes Sithole</v>
      </c>
      <c r="E8" s="55" t="str">
        <f>Intake_log!F8</f>
        <v>Mpumalanga</v>
      </c>
      <c r="F8" s="55">
        <f>Intake_log!V8</f>
        <v>1</v>
      </c>
      <c r="G8" s="55" t="str">
        <f>Intake_log!W8</f>
        <v>ACCEPT</v>
      </c>
      <c r="H8" s="24" t="str">
        <f t="shared" si="0"/>
        <v>LOW</v>
      </c>
    </row>
    <row r="9" spans="3:8" ht="27.75" x14ac:dyDescent="0.2">
      <c r="C9" s="29" t="str">
        <f>Intake_log!C9</f>
        <v>B006</v>
      </c>
      <c r="D9" s="55" t="str">
        <f>Intake_log!D9</f>
        <v>Lindiwe Nkosi</v>
      </c>
      <c r="E9" s="55" t="str">
        <f>Intake_log!F9</f>
        <v>Gauteng</v>
      </c>
      <c r="F9" s="55">
        <f>Intake_log!V9</f>
        <v>7</v>
      </c>
      <c r="G9" s="55" t="str">
        <f>Intake_log!W9</f>
        <v>REJECT</v>
      </c>
      <c r="H9" s="24" t="str">
        <f t="shared" si="0"/>
        <v>HIGH</v>
      </c>
    </row>
    <row r="10" spans="3:8" ht="27.75" x14ac:dyDescent="0.2">
      <c r="C10" s="29" t="str">
        <f>Intake_log!C10</f>
        <v>B007</v>
      </c>
      <c r="D10" s="55" t="str">
        <f>Intake_log!D10</f>
        <v>Kobus Pretorius</v>
      </c>
      <c r="E10" s="55" t="str">
        <f>Intake_log!F10</f>
        <v>North West</v>
      </c>
      <c r="F10" s="55">
        <f>Intake_log!V10</f>
        <v>0</v>
      </c>
      <c r="G10" s="55" t="str">
        <f>Intake_log!W10</f>
        <v>ACCEPT</v>
      </c>
      <c r="H10" s="24" t="str">
        <f t="shared" si="0"/>
        <v>LOW</v>
      </c>
    </row>
    <row r="11" spans="3:8" ht="27.75" x14ac:dyDescent="0.2">
      <c r="C11" s="29" t="str">
        <f>Intake_log!C11</f>
        <v>B008</v>
      </c>
      <c r="D11" s="55" t="str">
        <f>Intake_log!D11</f>
        <v>Zanele Mthembu</v>
      </c>
      <c r="E11" s="55" t="str">
        <f>Intake_log!F11</f>
        <v>KwaZulu-Natal</v>
      </c>
      <c r="F11" s="55">
        <f>Intake_log!V11</f>
        <v>6</v>
      </c>
      <c r="G11" s="55" t="str">
        <f>Intake_log!W11</f>
        <v>REJECT</v>
      </c>
      <c r="H11" s="24" t="str">
        <f t="shared" si="0"/>
        <v>HIGH</v>
      </c>
    </row>
    <row r="12" spans="3:8" ht="27.75" x14ac:dyDescent="0.2">
      <c r="C12" s="29" t="str">
        <f>Intake_log!C12</f>
        <v>B009</v>
      </c>
      <c r="D12" s="55" t="str">
        <f>Intake_log!D12</f>
        <v>Andile Cele</v>
      </c>
      <c r="E12" s="55" t="str">
        <f>Intake_log!F12</f>
        <v>Eastern Cape</v>
      </c>
      <c r="F12" s="55">
        <f>Intake_log!V12</f>
        <v>0</v>
      </c>
      <c r="G12" s="55" t="str">
        <f>Intake_log!W12</f>
        <v>ACCEPT</v>
      </c>
      <c r="H12" s="24" t="str">
        <f t="shared" si="0"/>
        <v>LOW</v>
      </c>
    </row>
    <row r="13" spans="3:8" ht="41.25" x14ac:dyDescent="0.2">
      <c r="C13" s="29" t="str">
        <f>Intake_log!C13</f>
        <v>B010</v>
      </c>
      <c r="D13" s="55" t="str">
        <f>Intake_log!D13</f>
        <v>Maria Sekgobela</v>
      </c>
      <c r="E13" s="55" t="str">
        <f>Intake_log!F13</f>
        <v>Limpopo</v>
      </c>
      <c r="F13" s="55">
        <f>Intake_log!V13</f>
        <v>14</v>
      </c>
      <c r="G13" s="55" t="str">
        <f>Intake_log!W13</f>
        <v>REJECT</v>
      </c>
      <c r="H13" s="24" t="str">
        <f t="shared" si="0"/>
        <v>HIGH</v>
      </c>
    </row>
    <row r="14" spans="3:8" ht="27.75" x14ac:dyDescent="0.2">
      <c r="C14" s="29" t="str">
        <f>Intake_log!C14</f>
        <v>B011</v>
      </c>
      <c r="D14" s="55" t="str">
        <f>Intake_log!D14</f>
        <v>Frikkie Botha</v>
      </c>
      <c r="E14" s="55" t="str">
        <f>Intake_log!F14</f>
        <v>Free State</v>
      </c>
      <c r="F14" s="55">
        <f>Intake_log!V14</f>
        <v>0</v>
      </c>
      <c r="G14" s="55" t="str">
        <f>Intake_log!W14</f>
        <v>ACCEPT</v>
      </c>
      <c r="H14" s="24" t="str">
        <f t="shared" si="0"/>
        <v>LOW</v>
      </c>
    </row>
    <row r="15" spans="3:8" ht="27.75" x14ac:dyDescent="0.2">
      <c r="C15" s="29" t="str">
        <f>Intake_log!C15</f>
        <v>B012</v>
      </c>
      <c r="D15" s="55" t="str">
        <f>Intake_log!D15</f>
        <v>Precious Mahlangu</v>
      </c>
      <c r="E15" s="55" t="str">
        <f>Intake_log!F15</f>
        <v>Mpumalanga</v>
      </c>
      <c r="F15" s="55">
        <f>Intake_log!V15</f>
        <v>8</v>
      </c>
      <c r="G15" s="55" t="str">
        <f>Intake_log!W15</f>
        <v>REJECT</v>
      </c>
      <c r="H15" s="24" t="str">
        <f t="shared" si="0"/>
        <v>HIGH</v>
      </c>
    </row>
    <row r="16" spans="3:8" ht="27.75" x14ac:dyDescent="0.2">
      <c r="C16" s="29" t="str">
        <f>Intake_log!C16</f>
        <v>B013</v>
      </c>
      <c r="D16" s="55" t="str">
        <f>Intake_log!D16</f>
        <v>Sifiso Zulu</v>
      </c>
      <c r="E16" s="55" t="str">
        <f>Intake_log!F16</f>
        <v>KwaZulu-Natal</v>
      </c>
      <c r="F16" s="55">
        <f>Intake_log!V16</f>
        <v>0</v>
      </c>
      <c r="G16" s="55" t="str">
        <f>Intake_log!W16</f>
        <v>ACCEPT</v>
      </c>
      <c r="H16" s="24" t="str">
        <f t="shared" si="0"/>
        <v>LOW</v>
      </c>
    </row>
    <row r="17" spans="3:8" ht="27.75" x14ac:dyDescent="0.2">
      <c r="C17" s="29" t="str">
        <f>Intake_log!C17</f>
        <v>B014</v>
      </c>
      <c r="D17" s="55" t="str">
        <f>Intake_log!D17</f>
        <v>Grietjie Swart</v>
      </c>
      <c r="E17" s="55" t="str">
        <f>Intake_log!F17</f>
        <v>North West</v>
      </c>
      <c r="F17" s="55">
        <f>Intake_log!V17</f>
        <v>0</v>
      </c>
      <c r="G17" s="55" t="str">
        <f>Intake_log!W17</f>
        <v>ACCEPT</v>
      </c>
      <c r="H17" s="24" t="str">
        <f t="shared" si="0"/>
        <v>LOW</v>
      </c>
    </row>
    <row r="18" spans="3:8" ht="28.5" thickBot="1" x14ac:dyDescent="0.25">
      <c r="C18" s="29" t="str">
        <f>Intake_log!C18</f>
        <v>B015</v>
      </c>
      <c r="D18" s="55" t="str">
        <f>Intake_log!D18</f>
        <v>Bongani Ntuli</v>
      </c>
      <c r="E18" s="55" t="str">
        <f>Intake_log!F18</f>
        <v>Gauteng</v>
      </c>
      <c r="F18" s="55">
        <f>Intake_log!V18</f>
        <v>10</v>
      </c>
      <c r="G18" s="55" t="str">
        <f>Intake_log!W18</f>
        <v>REJECT</v>
      </c>
      <c r="H18" s="26" t="str">
        <f t="shared" si="0"/>
        <v>HIGH</v>
      </c>
    </row>
  </sheetData>
  <sheetProtection algorithmName="SHA-512" hashValue="JbDGjAcRUpAWJPES6L/XEQjOAffnuBmVCt/dQ/739umNkbUghtS1wkrNfPCxaql+mul3DQkL7+LtOD4AkLchVw==" saltValue="n3wlvcLmGcvRn1TzLgoilQ==" spinCount="100000" sheet="1" objects="1" scenarios="1"/>
  <conditionalFormatting sqref="H4:H18">
    <cfRule type="cellIs" dxfId="1" priority="1" operator="equal">
      <formula>"high"</formula>
    </cfRule>
    <cfRule type="cellIs" dxfId="0" priority="2" operator="equal">
      <formula>"low"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B009-A819-46B2-BA23-AAF0EF9DF5EC}">
  <dimension ref="C3:N49"/>
  <sheetViews>
    <sheetView showGridLines="0" topLeftCell="A10" zoomScale="66" zoomScaleNormal="66" workbookViewId="0">
      <selection activeCell="F39" sqref="F39"/>
    </sheetView>
  </sheetViews>
  <sheetFormatPr defaultRowHeight="15" x14ac:dyDescent="0.2"/>
  <cols>
    <col min="3" max="3" width="12.10546875" customWidth="1"/>
    <col min="4" max="4" width="14.9296875" customWidth="1"/>
    <col min="5" max="5" width="12.375" customWidth="1"/>
    <col min="6" max="6" width="11.02734375" customWidth="1"/>
    <col min="7" max="7" width="16.140625" customWidth="1"/>
    <col min="8" max="8" width="14.2578125" customWidth="1"/>
    <col min="9" max="9" width="20.17578125" customWidth="1"/>
    <col min="10" max="10" width="17.21875" customWidth="1"/>
    <col min="11" max="11" width="19.37109375" customWidth="1"/>
    <col min="12" max="12" width="13.1796875" customWidth="1"/>
    <col min="13" max="13" width="19.50390625" customWidth="1"/>
    <col min="14" max="14" width="16.0078125" customWidth="1"/>
  </cols>
  <sheetData>
    <row r="3" spans="3:14" ht="15.75" x14ac:dyDescent="0.2">
      <c r="C3" s="35" t="s">
        <v>1</v>
      </c>
      <c r="D3" s="36"/>
      <c r="E3" s="36"/>
      <c r="F3" s="36"/>
      <c r="G3" s="36"/>
    </row>
    <row r="5" spans="3:14" ht="15.75" thickBot="1" x14ac:dyDescent="0.25">
      <c r="C5" s="10" t="s">
        <v>2</v>
      </c>
      <c r="D5" s="11" t="s">
        <v>3</v>
      </c>
      <c r="E5" s="11" t="s">
        <v>4</v>
      </c>
      <c r="F5" s="11" t="s">
        <v>5</v>
      </c>
      <c r="G5" s="11" t="s">
        <v>6</v>
      </c>
      <c r="H5" s="11" t="s">
        <v>7</v>
      </c>
      <c r="I5" s="11" t="s">
        <v>8</v>
      </c>
      <c r="J5" s="11" t="s">
        <v>9</v>
      </c>
      <c r="K5" s="11" t="s">
        <v>10</v>
      </c>
      <c r="L5" s="11" t="s">
        <v>11</v>
      </c>
      <c r="M5" s="11" t="s">
        <v>12</v>
      </c>
      <c r="N5" s="12" t="s">
        <v>13</v>
      </c>
    </row>
    <row r="6" spans="3:14" x14ac:dyDescent="0.2">
      <c r="C6" s="6" t="s">
        <v>14</v>
      </c>
      <c r="D6" s="3" t="s">
        <v>15</v>
      </c>
      <c r="E6" s="3" t="s">
        <v>16</v>
      </c>
      <c r="F6" s="3" t="s">
        <v>17</v>
      </c>
      <c r="G6" s="4" t="s">
        <v>18</v>
      </c>
      <c r="H6" s="4" t="s">
        <v>19</v>
      </c>
      <c r="I6" s="4" t="s">
        <v>20</v>
      </c>
      <c r="J6" s="4" t="s">
        <v>21</v>
      </c>
      <c r="K6" s="4" t="s">
        <v>22</v>
      </c>
      <c r="L6" s="4" t="s">
        <v>23</v>
      </c>
      <c r="M6" s="4" t="s">
        <v>24</v>
      </c>
      <c r="N6" s="8">
        <v>8</v>
      </c>
    </row>
    <row r="7" spans="3:14" ht="27.75" x14ac:dyDescent="0.2">
      <c r="C7" s="7" t="s">
        <v>25</v>
      </c>
      <c r="D7" s="2" t="s">
        <v>26</v>
      </c>
      <c r="E7" s="2" t="s">
        <v>27</v>
      </c>
      <c r="F7" s="2" t="s">
        <v>28</v>
      </c>
      <c r="G7" s="5" t="s">
        <v>29</v>
      </c>
      <c r="H7" s="5" t="s">
        <v>30</v>
      </c>
      <c r="I7" s="5" t="s">
        <v>31</v>
      </c>
      <c r="J7" s="5" t="s">
        <v>32</v>
      </c>
      <c r="K7" s="5" t="s">
        <v>33</v>
      </c>
      <c r="L7" s="5" t="s">
        <v>34</v>
      </c>
      <c r="M7" s="5" t="s">
        <v>35</v>
      </c>
      <c r="N7" s="9">
        <v>12</v>
      </c>
    </row>
    <row r="8" spans="3:14" x14ac:dyDescent="0.2">
      <c r="C8" s="7" t="s">
        <v>36</v>
      </c>
      <c r="D8" s="2" t="s">
        <v>37</v>
      </c>
      <c r="E8" s="2" t="s">
        <v>38</v>
      </c>
      <c r="F8" s="2" t="s">
        <v>39</v>
      </c>
      <c r="G8" s="5" t="s">
        <v>40</v>
      </c>
      <c r="H8" s="5" t="s">
        <v>41</v>
      </c>
      <c r="I8" s="5" t="s">
        <v>21</v>
      </c>
      <c r="J8" s="5" t="s">
        <v>20</v>
      </c>
      <c r="K8" s="5" t="s">
        <v>42</v>
      </c>
      <c r="L8" s="5" t="s">
        <v>43</v>
      </c>
      <c r="M8" s="5" t="s">
        <v>22</v>
      </c>
      <c r="N8" s="9">
        <v>7</v>
      </c>
    </row>
    <row r="9" spans="3:14" x14ac:dyDescent="0.2">
      <c r="C9" s="7" t="s">
        <v>44</v>
      </c>
      <c r="D9" s="2" t="s">
        <v>45</v>
      </c>
      <c r="E9" s="2" t="s">
        <v>46</v>
      </c>
      <c r="F9" s="2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20</v>
      </c>
      <c r="N9" s="9">
        <v>22</v>
      </c>
    </row>
    <row r="10" spans="3:14" x14ac:dyDescent="0.2">
      <c r="C10" s="7" t="s">
        <v>54</v>
      </c>
      <c r="D10" s="2" t="s">
        <v>55</v>
      </c>
      <c r="E10" s="2" t="s">
        <v>56</v>
      </c>
      <c r="F10" s="2" t="s">
        <v>17</v>
      </c>
      <c r="G10" s="5" t="s">
        <v>57</v>
      </c>
      <c r="H10" s="5" t="s">
        <v>58</v>
      </c>
      <c r="I10" s="5" t="s">
        <v>59</v>
      </c>
      <c r="J10" s="5" t="s">
        <v>60</v>
      </c>
      <c r="K10" s="5" t="s">
        <v>61</v>
      </c>
      <c r="L10" s="5" t="s">
        <v>62</v>
      </c>
      <c r="M10" s="5" t="s">
        <v>63</v>
      </c>
      <c r="N10" s="9">
        <v>9</v>
      </c>
    </row>
    <row r="11" spans="3:14" x14ac:dyDescent="0.2">
      <c r="C11" s="7" t="s">
        <v>64</v>
      </c>
      <c r="D11" s="2" t="s">
        <v>65</v>
      </c>
      <c r="E11" s="2" t="s">
        <v>66</v>
      </c>
      <c r="F11" s="2" t="s">
        <v>67</v>
      </c>
      <c r="G11" s="5" t="s">
        <v>68</v>
      </c>
      <c r="H11" s="5" t="s">
        <v>69</v>
      </c>
      <c r="I11" s="5" t="s">
        <v>70</v>
      </c>
      <c r="J11" s="5" t="s">
        <v>71</v>
      </c>
      <c r="K11" s="5" t="s">
        <v>21</v>
      </c>
      <c r="L11" s="5" t="s">
        <v>20</v>
      </c>
      <c r="M11" s="5" t="s">
        <v>72</v>
      </c>
      <c r="N11" s="9">
        <v>18</v>
      </c>
    </row>
    <row r="12" spans="3:14" x14ac:dyDescent="0.2">
      <c r="C12" s="7" t="s">
        <v>73</v>
      </c>
      <c r="D12" s="2" t="s">
        <v>74</v>
      </c>
      <c r="E12" s="2" t="s">
        <v>75</v>
      </c>
      <c r="F12" s="2" t="s">
        <v>76</v>
      </c>
      <c r="G12" s="5" t="s">
        <v>77</v>
      </c>
      <c r="H12" s="5" t="s">
        <v>78</v>
      </c>
      <c r="I12" s="5" t="s">
        <v>79</v>
      </c>
      <c r="J12" s="5" t="s">
        <v>80</v>
      </c>
      <c r="K12" s="5" t="s">
        <v>23</v>
      </c>
      <c r="L12" s="5" t="s">
        <v>43</v>
      </c>
      <c r="M12" s="5" t="s">
        <v>42</v>
      </c>
      <c r="N12" s="9">
        <v>6</v>
      </c>
    </row>
    <row r="13" spans="3:14" ht="27.75" x14ac:dyDescent="0.2">
      <c r="C13" s="7" t="s">
        <v>81</v>
      </c>
      <c r="D13" s="2" t="s">
        <v>82</v>
      </c>
      <c r="E13" s="2" t="s">
        <v>83</v>
      </c>
      <c r="F13" s="2" t="s">
        <v>28</v>
      </c>
      <c r="G13" s="5" t="s">
        <v>84</v>
      </c>
      <c r="H13" s="5" t="s">
        <v>85</v>
      </c>
      <c r="I13" s="5" t="s">
        <v>86</v>
      </c>
      <c r="J13" s="5" t="s">
        <v>87</v>
      </c>
      <c r="K13" s="5" t="s">
        <v>88</v>
      </c>
      <c r="L13" s="5" t="s">
        <v>61</v>
      </c>
      <c r="M13" s="5" t="s">
        <v>34</v>
      </c>
      <c r="N13" s="9">
        <v>11</v>
      </c>
    </row>
    <row r="14" spans="3:14" ht="27.75" x14ac:dyDescent="0.2">
      <c r="C14" s="7" t="s">
        <v>89</v>
      </c>
      <c r="D14" s="2" t="s">
        <v>90</v>
      </c>
      <c r="E14" s="2" t="s">
        <v>91</v>
      </c>
      <c r="F14" s="2" t="s">
        <v>92</v>
      </c>
      <c r="G14" s="5" t="s">
        <v>93</v>
      </c>
      <c r="H14" s="5" t="s">
        <v>94</v>
      </c>
      <c r="I14" s="5" t="s">
        <v>95</v>
      </c>
      <c r="J14" s="5" t="s">
        <v>96</v>
      </c>
      <c r="K14" s="5" t="s">
        <v>62</v>
      </c>
      <c r="L14" s="5" t="s">
        <v>42</v>
      </c>
      <c r="M14" s="5" t="s">
        <v>62</v>
      </c>
      <c r="N14" s="9">
        <v>8</v>
      </c>
    </row>
    <row r="15" spans="3:14" x14ac:dyDescent="0.2">
      <c r="C15" s="7" t="s">
        <v>97</v>
      </c>
      <c r="D15" s="2" t="s">
        <v>98</v>
      </c>
      <c r="E15" s="2" t="s">
        <v>99</v>
      </c>
      <c r="F15" s="2" t="s">
        <v>47</v>
      </c>
      <c r="G15" s="5" t="s">
        <v>100</v>
      </c>
      <c r="H15" s="5" t="s">
        <v>101</v>
      </c>
      <c r="I15" s="5" t="s">
        <v>102</v>
      </c>
      <c r="J15" s="5" t="s">
        <v>103</v>
      </c>
      <c r="K15" s="5" t="s">
        <v>59</v>
      </c>
      <c r="L15" s="5" t="s">
        <v>32</v>
      </c>
      <c r="M15" s="5" t="s">
        <v>104</v>
      </c>
      <c r="N15" s="9">
        <v>25</v>
      </c>
    </row>
    <row r="16" spans="3:14" x14ac:dyDescent="0.2">
      <c r="C16" s="7" t="s">
        <v>105</v>
      </c>
      <c r="D16" s="2" t="s">
        <v>106</v>
      </c>
      <c r="E16" s="2" t="s">
        <v>107</v>
      </c>
      <c r="F16" s="2" t="s">
        <v>39</v>
      </c>
      <c r="G16" s="5" t="s">
        <v>108</v>
      </c>
      <c r="H16" s="5" t="s">
        <v>109</v>
      </c>
      <c r="I16" s="5" t="s">
        <v>72</v>
      </c>
      <c r="J16" s="5" t="s">
        <v>110</v>
      </c>
      <c r="K16" s="5" t="s">
        <v>42</v>
      </c>
      <c r="L16" s="5" t="s">
        <v>111</v>
      </c>
      <c r="M16" s="5" t="s">
        <v>23</v>
      </c>
      <c r="N16" s="9">
        <v>6</v>
      </c>
    </row>
    <row r="17" spans="3:14" ht="27.75" x14ac:dyDescent="0.2">
      <c r="C17" s="7" t="s">
        <v>112</v>
      </c>
      <c r="D17" s="2" t="s">
        <v>113</v>
      </c>
      <c r="E17" s="2" t="s">
        <v>114</v>
      </c>
      <c r="F17" s="2" t="s">
        <v>17</v>
      </c>
      <c r="G17" s="5" t="s">
        <v>115</v>
      </c>
      <c r="H17" s="5" t="s">
        <v>116</v>
      </c>
      <c r="I17" s="5" t="s">
        <v>117</v>
      </c>
      <c r="J17" s="5" t="s">
        <v>118</v>
      </c>
      <c r="K17" s="5" t="s">
        <v>72</v>
      </c>
      <c r="L17" s="5" t="s">
        <v>21</v>
      </c>
      <c r="M17" s="5" t="s">
        <v>79</v>
      </c>
      <c r="N17" s="9">
        <v>16</v>
      </c>
    </row>
    <row r="18" spans="3:14" ht="27.75" x14ac:dyDescent="0.2">
      <c r="C18" s="7" t="s">
        <v>119</v>
      </c>
      <c r="D18" s="2" t="s">
        <v>120</v>
      </c>
      <c r="E18" s="2" t="s">
        <v>121</v>
      </c>
      <c r="F18" s="2" t="s">
        <v>28</v>
      </c>
      <c r="G18" s="5" t="s">
        <v>122</v>
      </c>
      <c r="H18" s="5" t="s">
        <v>123</v>
      </c>
      <c r="I18" s="5" t="s">
        <v>124</v>
      </c>
      <c r="J18" s="5" t="s">
        <v>95</v>
      </c>
      <c r="K18" s="5" t="s">
        <v>24</v>
      </c>
      <c r="L18" s="5" t="s">
        <v>22</v>
      </c>
      <c r="M18" s="5" t="s">
        <v>61</v>
      </c>
      <c r="N18" s="9">
        <v>9</v>
      </c>
    </row>
    <row r="19" spans="3:14" x14ac:dyDescent="0.2">
      <c r="C19" s="7" t="s">
        <v>125</v>
      </c>
      <c r="D19" s="2" t="s">
        <v>126</v>
      </c>
      <c r="E19" s="2" t="s">
        <v>127</v>
      </c>
      <c r="F19" s="2" t="s">
        <v>76</v>
      </c>
      <c r="G19" s="5" t="s">
        <v>128</v>
      </c>
      <c r="H19" s="5" t="s">
        <v>129</v>
      </c>
      <c r="I19" s="5" t="s">
        <v>80</v>
      </c>
      <c r="J19" s="5" t="s">
        <v>96</v>
      </c>
      <c r="K19" s="5" t="s">
        <v>22</v>
      </c>
      <c r="L19" s="5" t="s">
        <v>23</v>
      </c>
      <c r="M19" s="5" t="s">
        <v>22</v>
      </c>
      <c r="N19" s="9">
        <v>7</v>
      </c>
    </row>
    <row r="20" spans="3:14" x14ac:dyDescent="0.2">
      <c r="C20" s="13" t="s">
        <v>130</v>
      </c>
      <c r="D20" s="14" t="s">
        <v>131</v>
      </c>
      <c r="E20" s="14" t="s">
        <v>132</v>
      </c>
      <c r="F20" s="14" t="s">
        <v>67</v>
      </c>
      <c r="G20" s="15" t="s">
        <v>133</v>
      </c>
      <c r="H20" s="15" t="s">
        <v>134</v>
      </c>
      <c r="I20" s="15" t="s">
        <v>135</v>
      </c>
      <c r="J20" s="15" t="s">
        <v>117</v>
      </c>
      <c r="K20" s="15" t="s">
        <v>20</v>
      </c>
      <c r="L20" s="15" t="s">
        <v>104</v>
      </c>
      <c r="M20" s="15" t="s">
        <v>80</v>
      </c>
      <c r="N20" s="16">
        <v>20</v>
      </c>
    </row>
    <row r="24" spans="3:14" ht="15.75" x14ac:dyDescent="0.2">
      <c r="C24" s="35" t="s">
        <v>136</v>
      </c>
      <c r="D24" s="36"/>
      <c r="E24" s="36"/>
      <c r="F24" s="36"/>
    </row>
    <row r="25" spans="3:14" ht="15.75" x14ac:dyDescent="0.2">
      <c r="C25" s="36"/>
      <c r="D25" s="36"/>
      <c r="E25" s="36"/>
      <c r="F25" s="36"/>
    </row>
    <row r="26" spans="3:14" ht="15.75" thickBot="1" x14ac:dyDescent="0.25">
      <c r="C26" s="19" t="s">
        <v>137</v>
      </c>
      <c r="D26" s="20" t="s">
        <v>138</v>
      </c>
      <c r="E26" s="20" t="s">
        <v>139</v>
      </c>
      <c r="F26" s="21" t="s">
        <v>140</v>
      </c>
    </row>
    <row r="27" spans="3:14" x14ac:dyDescent="0.2">
      <c r="C27" s="6" t="s">
        <v>7</v>
      </c>
      <c r="D27" s="3" t="s">
        <v>141</v>
      </c>
      <c r="E27" s="3" t="s">
        <v>142</v>
      </c>
      <c r="F27" s="17" t="s">
        <v>143</v>
      </c>
    </row>
    <row r="28" spans="3:14" ht="27.75" x14ac:dyDescent="0.2">
      <c r="C28" s="7" t="s">
        <v>8</v>
      </c>
      <c r="D28" s="2" t="s">
        <v>144</v>
      </c>
      <c r="E28" s="2" t="s">
        <v>145</v>
      </c>
      <c r="F28" s="18" t="s">
        <v>146</v>
      </c>
    </row>
    <row r="29" spans="3:14" ht="27.75" x14ac:dyDescent="0.2">
      <c r="C29" s="7" t="s">
        <v>9</v>
      </c>
      <c r="D29" s="2" t="s">
        <v>144</v>
      </c>
      <c r="E29" s="2" t="s">
        <v>147</v>
      </c>
      <c r="F29" s="18" t="s">
        <v>148</v>
      </c>
    </row>
    <row r="30" spans="3:14" ht="27.75" x14ac:dyDescent="0.2">
      <c r="C30" s="7" t="s">
        <v>10</v>
      </c>
      <c r="D30" s="2" t="s">
        <v>149</v>
      </c>
      <c r="E30" s="2" t="s">
        <v>150</v>
      </c>
      <c r="F30" s="18" t="s">
        <v>151</v>
      </c>
    </row>
    <row r="31" spans="3:14" x14ac:dyDescent="0.2">
      <c r="C31" s="7" t="s">
        <v>11</v>
      </c>
      <c r="D31" s="2" t="s">
        <v>149</v>
      </c>
      <c r="E31" s="2" t="s">
        <v>152</v>
      </c>
      <c r="F31" s="18" t="s">
        <v>153</v>
      </c>
    </row>
    <row r="32" spans="3:14" ht="27.75" x14ac:dyDescent="0.2">
      <c r="C32" s="7" t="s">
        <v>12</v>
      </c>
      <c r="D32" s="2" t="s">
        <v>149</v>
      </c>
      <c r="E32" s="2" t="s">
        <v>154</v>
      </c>
      <c r="F32" s="18" t="s">
        <v>155</v>
      </c>
    </row>
    <row r="33" spans="3:6" ht="27.75" x14ac:dyDescent="0.2">
      <c r="C33" s="13" t="s">
        <v>13</v>
      </c>
      <c r="D33" s="14" t="s">
        <v>156</v>
      </c>
      <c r="E33" s="14" t="s">
        <v>157</v>
      </c>
      <c r="F33" s="22" t="s">
        <v>158</v>
      </c>
    </row>
    <row r="37" spans="3:6" ht="15.75" x14ac:dyDescent="0.2">
      <c r="C37" s="35" t="s">
        <v>159</v>
      </c>
      <c r="D37" s="36"/>
    </row>
    <row r="38" spans="3:6" ht="15.75" thickBot="1" x14ac:dyDescent="0.25">
      <c r="C38" s="1"/>
    </row>
    <row r="39" spans="3:6" ht="16.5" thickBot="1" x14ac:dyDescent="0.25">
      <c r="C39" s="32" t="s">
        <v>137</v>
      </c>
      <c r="D39" s="33" t="s">
        <v>168</v>
      </c>
    </row>
    <row r="40" spans="3:6" x14ac:dyDescent="0.2">
      <c r="C40" s="31" t="s">
        <v>169</v>
      </c>
      <c r="D40" s="30" t="s">
        <v>170</v>
      </c>
    </row>
    <row r="41" spans="3:6" x14ac:dyDescent="0.2">
      <c r="C41" s="23" t="s">
        <v>171</v>
      </c>
      <c r="D41" s="24" t="s">
        <v>172</v>
      </c>
    </row>
    <row r="42" spans="3:6" ht="15.75" thickBot="1" x14ac:dyDescent="0.25">
      <c r="C42" s="25" t="s">
        <v>173</v>
      </c>
      <c r="D42" s="26" t="s">
        <v>174</v>
      </c>
    </row>
    <row r="44" spans="3:6" ht="15.75" x14ac:dyDescent="0.2">
      <c r="C44" s="35" t="s">
        <v>160</v>
      </c>
      <c r="D44" s="36"/>
    </row>
    <row r="45" spans="3:6" ht="15.75" thickBot="1" x14ac:dyDescent="0.25">
      <c r="C45" s="1"/>
    </row>
    <row r="46" spans="3:6" ht="16.5" thickBot="1" x14ac:dyDescent="0.25">
      <c r="C46" s="34" t="s">
        <v>166</v>
      </c>
      <c r="D46" s="33" t="s">
        <v>167</v>
      </c>
    </row>
    <row r="47" spans="3:6" x14ac:dyDescent="0.2">
      <c r="C47" s="29" t="s">
        <v>161</v>
      </c>
      <c r="D47" s="30" t="s">
        <v>164</v>
      </c>
    </row>
    <row r="48" spans="3:6" x14ac:dyDescent="0.2">
      <c r="C48" s="27" t="s">
        <v>162</v>
      </c>
      <c r="D48" s="24" t="s">
        <v>165</v>
      </c>
    </row>
    <row r="49" spans="3:4" ht="15.75" thickBot="1" x14ac:dyDescent="0.25">
      <c r="C49" s="28" t="s">
        <v>163</v>
      </c>
      <c r="D49" s="26" t="s">
        <v>140</v>
      </c>
    </row>
  </sheetData>
  <sheetProtection algorithmName="SHA-512" hashValue="SZtLsC0cpJtWvQDqnvaJiK/P5A0GsyOrTUTFPiafU/MkbnTPn1wFmolvqXrNMeQnV1fWT7NF5Mxf2wF2G8fmew==" saltValue="4lEg+tM8fl9KmyGbv368rw==" spinCount="100000" sheet="1" objects="1" scenarios="1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2EEE-81E2-46B6-874F-E4572CE19ABB}">
  <dimension ref="K1:P17"/>
  <sheetViews>
    <sheetView showGridLines="0" workbookViewId="0">
      <selection activeCell="D9" sqref="D9"/>
    </sheetView>
  </sheetViews>
  <sheetFormatPr defaultRowHeight="15" x14ac:dyDescent="0.2"/>
  <sheetData>
    <row r="1" spans="11:16" ht="15.75" thickBot="1" x14ac:dyDescent="0.25"/>
    <row r="2" spans="11:16" ht="28.5" thickBot="1" x14ac:dyDescent="0.25">
      <c r="K2" s="84" t="s">
        <v>197</v>
      </c>
      <c r="L2" s="85" t="s">
        <v>198</v>
      </c>
      <c r="O2" s="73" t="s">
        <v>192</v>
      </c>
      <c r="P2" s="79" t="s">
        <v>199</v>
      </c>
    </row>
    <row r="3" spans="11:16" x14ac:dyDescent="0.2">
      <c r="K3" s="82" t="s">
        <v>195</v>
      </c>
      <c r="L3" s="83">
        <f>COUNTIF(Intake_log!W4:W18,"ACCEPT")</f>
        <v>8</v>
      </c>
      <c r="O3" s="41" t="s">
        <v>14</v>
      </c>
      <c r="P3" s="66">
        <f>INDEX(Intake_log!$V$4:$V$18,MATCH(O3,Intake_log!$C$4:$C$18,0))</f>
        <v>0</v>
      </c>
    </row>
    <row r="4" spans="11:16" x14ac:dyDescent="0.2">
      <c r="K4" s="80" t="s">
        <v>196</v>
      </c>
      <c r="L4" s="81">
        <f>COUNTIF(Intake_log!W4:W18,"REJECT")</f>
        <v>7</v>
      </c>
      <c r="O4" s="37" t="s">
        <v>25</v>
      </c>
      <c r="P4" s="66">
        <f>INDEX(Intake_log!$V$4:$V$18,MATCH(O4,Intake_log!$C$4:$C$18,0))</f>
        <v>7</v>
      </c>
    </row>
    <row r="5" spans="11:16" ht="15.75" thickBot="1" x14ac:dyDescent="0.25">
      <c r="K5" s="28"/>
      <c r="L5" s="26"/>
      <c r="O5" s="37" t="s">
        <v>36</v>
      </c>
      <c r="P5" s="66">
        <f>INDEX(Intake_log!$V$4:$V$18,MATCH(O5,Intake_log!$C$4:$C$18,0))</f>
        <v>0</v>
      </c>
    </row>
    <row r="6" spans="11:16" x14ac:dyDescent="0.2">
      <c r="O6" s="37" t="s">
        <v>44</v>
      </c>
      <c r="P6" s="66">
        <f>INDEX(Intake_log!$V$4:$V$18,MATCH(O6,Intake_log!$C$4:$C$18,0))</f>
        <v>13</v>
      </c>
    </row>
    <row r="7" spans="11:16" x14ac:dyDescent="0.2">
      <c r="O7" s="37" t="s">
        <v>54</v>
      </c>
      <c r="P7" s="66">
        <f>INDEX(Intake_log!$V$4:$V$18,MATCH(O7,Intake_log!$C$4:$C$18,0))</f>
        <v>1</v>
      </c>
    </row>
    <row r="8" spans="11:16" x14ac:dyDescent="0.2">
      <c r="O8" s="37" t="s">
        <v>64</v>
      </c>
      <c r="P8" s="66">
        <f>INDEX(Intake_log!$V$4:$V$18,MATCH(O8,Intake_log!$C$4:$C$18,0))</f>
        <v>7</v>
      </c>
    </row>
    <row r="9" spans="11:16" x14ac:dyDescent="0.2">
      <c r="O9" s="37" t="s">
        <v>73</v>
      </c>
      <c r="P9" s="66">
        <f>INDEX(Intake_log!$V$4:$V$18,MATCH(O9,Intake_log!$C$4:$C$18,0))</f>
        <v>0</v>
      </c>
    </row>
    <row r="10" spans="11:16" x14ac:dyDescent="0.2">
      <c r="O10" s="37" t="s">
        <v>81</v>
      </c>
      <c r="P10" s="66">
        <f>INDEX(Intake_log!$V$4:$V$18,MATCH(O10,Intake_log!$C$4:$C$18,0))</f>
        <v>6</v>
      </c>
    </row>
    <row r="11" spans="11:16" x14ac:dyDescent="0.2">
      <c r="O11" s="37" t="s">
        <v>89</v>
      </c>
      <c r="P11" s="66">
        <f>INDEX(Intake_log!$V$4:$V$18,MATCH(O11,Intake_log!$C$4:$C$18,0))</f>
        <v>0</v>
      </c>
    </row>
    <row r="12" spans="11:16" x14ac:dyDescent="0.2">
      <c r="O12" s="37" t="s">
        <v>97</v>
      </c>
      <c r="P12" s="66">
        <f>INDEX(Intake_log!$V$4:$V$18,MATCH(O12,Intake_log!$C$4:$C$18,0))</f>
        <v>14</v>
      </c>
    </row>
    <row r="13" spans="11:16" x14ac:dyDescent="0.2">
      <c r="O13" s="37" t="s">
        <v>105</v>
      </c>
      <c r="P13" s="66">
        <f>INDEX(Intake_log!$V$4:$V$18,MATCH(O13,Intake_log!$C$4:$C$18,0))</f>
        <v>0</v>
      </c>
    </row>
    <row r="14" spans="11:16" x14ac:dyDescent="0.2">
      <c r="O14" s="37" t="s">
        <v>112</v>
      </c>
      <c r="P14" s="66">
        <f>INDEX(Intake_log!$V$4:$V$18,MATCH(O14,Intake_log!$C$4:$C$18,0))</f>
        <v>8</v>
      </c>
    </row>
    <row r="15" spans="11:16" x14ac:dyDescent="0.2">
      <c r="O15" s="37" t="s">
        <v>119</v>
      </c>
      <c r="P15" s="66">
        <f>INDEX(Intake_log!$V$4:$V$18,MATCH(O15,Intake_log!$C$4:$C$18,0))</f>
        <v>0</v>
      </c>
    </row>
    <row r="16" spans="11:16" x14ac:dyDescent="0.2">
      <c r="O16" s="37" t="s">
        <v>125</v>
      </c>
      <c r="P16" s="66">
        <f>INDEX(Intake_log!$V$4:$V$18,MATCH(O16,Intake_log!$C$4:$C$18,0))</f>
        <v>0</v>
      </c>
    </row>
    <row r="17" spans="15:16" ht="15.75" thickBot="1" x14ac:dyDescent="0.25">
      <c r="O17" s="38" t="s">
        <v>130</v>
      </c>
      <c r="P17" s="67">
        <f>INDEX(Intake_log!$V$4:$V$18,MATCH(O17,Intake_log!$C$4:$C$18,0))</f>
        <v>10</v>
      </c>
    </row>
  </sheetData>
  <sheetProtection algorithmName="SHA-512" hashValue="44TVb1Vj4KnOwCHi3XU1OTA+Oaxo8UHgtqhDBluAJ0RsMRAMQxz6kpFBzK5QiXmM2/JqIgK6DgqhFKtNBJ95lA==" saltValue="AIsxhcfAuhaX/YS03f3Za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Intake_log</vt:lpstr>
      <vt:lpstr>Risk_Scoring</vt:lpstr>
      <vt:lpstr>Lookup_Table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Doctor Banele Nhambe</dc:creator>
  <cp:lastModifiedBy>ABC</cp:lastModifiedBy>
  <dcterms:created xsi:type="dcterms:W3CDTF">2026-03-04T11:20:13Z</dcterms:created>
  <dcterms:modified xsi:type="dcterms:W3CDTF">2026-03-16T12:11:01Z</dcterms:modified>
</cp:coreProperties>
</file>